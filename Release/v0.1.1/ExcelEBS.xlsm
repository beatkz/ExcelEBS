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kmomose\Desktop\Favs\Develop\Done or Pausing\ExcelEBS\Release\v0.1.1\"/>
    </mc:Choice>
  </mc:AlternateContent>
  <xr:revisionPtr revIDLastSave="0" documentId="13_ncr:1_{97A26C72-CFA2-4FAB-A0A5-D4E526F07CD2}" xr6:coauthVersionLast="46" xr6:coauthVersionMax="46" xr10:uidLastSave="{00000000-0000-0000-0000-000000000000}"/>
  <bookViews>
    <workbookView xWindow="3705" yWindow="1800" windowWidth="8940" windowHeight="13380" tabRatio="710" activeTab="1" xr2:uid="{BFE4650E-7511-4628-A5F3-675030DC61AC}"/>
  </bookViews>
  <sheets>
    <sheet name="TimeSheet" sheetId="2" r:id="rId1"/>
    <sheet name="Tasks" sheetId="1" r:id="rId2"/>
    <sheet name="Projects" sheetId="4" r:id="rId3"/>
    <sheet name="est vs act" sheetId="5" r:id="rId4"/>
    <sheet name="Sim" sheetId="6" r:id="rId5"/>
    <sheet name="ConfDist&amp;Log" sheetId="8" r:id="rId6"/>
  </sheets>
  <functionGroups builtInGroupCount="19"/>
  <externalReferences>
    <externalReference r:id="rId7"/>
  </externalReferences>
  <definedNames>
    <definedName name="_xlnm._FilterDatabase" localSheetId="2" hidden="1">Projects!$A$2:$F$8</definedName>
    <definedName name="_xlnm._FilterDatabase" localSheetId="4" hidden="1">Sim!$A$7:$E$7</definedName>
    <definedName name="_xlnm._FilterDatabase" localSheetId="1" hidden="1">Tasks!$A$2:$I$99</definedName>
    <definedName name="_xlnm._FilterDatabase" localSheetId="0" hidden="1">TimeSheet!$A$2:$G$46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A8" i="6" l="1"/>
  <c r="CZ8" i="6"/>
  <c r="CY8" i="6"/>
  <c r="CX8" i="6"/>
  <c r="CW8" i="6"/>
  <c r="CV8" i="6"/>
  <c r="CU8" i="6"/>
  <c r="CT8" i="6"/>
  <c r="CS8" i="6"/>
  <c r="CR8" i="6"/>
  <c r="CQ8" i="6"/>
  <c r="CP8" i="6"/>
  <c r="CO8" i="6"/>
  <c r="CN8" i="6"/>
  <c r="CM8" i="6"/>
  <c r="CL8" i="6"/>
  <c r="CK8" i="6"/>
  <c r="CJ8" i="6"/>
  <c r="CI8" i="6"/>
  <c r="CH8" i="6"/>
  <c r="CG8" i="6"/>
  <c r="CF8" i="6"/>
  <c r="CE8" i="6"/>
  <c r="CD8" i="6"/>
  <c r="CC8" i="6"/>
  <c r="CB8" i="6"/>
  <c r="CA8" i="6"/>
  <c r="BZ8" i="6"/>
  <c r="BY8" i="6"/>
  <c r="BX8" i="6"/>
  <c r="BW8" i="6"/>
  <c r="BV8" i="6"/>
  <c r="BU8" i="6"/>
  <c r="BT8" i="6"/>
  <c r="BS8" i="6"/>
  <c r="BR8" i="6"/>
  <c r="BQ8" i="6"/>
  <c r="BP8" i="6"/>
  <c r="BO8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9" i="6"/>
  <c r="D9" i="6"/>
  <c r="B9" i="6"/>
  <c r="C9" i="6"/>
  <c r="E8" i="6"/>
  <c r="C8" i="6"/>
  <c r="G5" i="2"/>
  <c r="E5" i="2"/>
  <c r="F5" i="2" s="1"/>
  <c r="D5" i="1"/>
  <c r="G4" i="2" l="1"/>
  <c r="E4" i="2"/>
  <c r="F4" i="2" s="1"/>
  <c r="D4" i="1"/>
  <c r="CR2" i="6" l="1"/>
  <c r="CR3" i="6" s="1"/>
  <c r="CF2" i="6"/>
  <c r="CF3" i="6" s="1"/>
  <c r="CB2" i="6"/>
  <c r="CB3" i="6" s="1"/>
  <c r="BX2" i="6"/>
  <c r="BX3" i="6" s="1"/>
  <c r="BT2" i="6"/>
  <c r="BT3" i="6" s="1"/>
  <c r="BP2" i="6"/>
  <c r="BP3" i="6" s="1"/>
  <c r="BL2" i="6"/>
  <c r="BL3" i="6" s="1"/>
  <c r="BH2" i="6"/>
  <c r="BH3" i="6" s="1"/>
  <c r="AZ2" i="6"/>
  <c r="AZ3" i="6" s="1"/>
  <c r="AJ2" i="6"/>
  <c r="AJ3" i="6" s="1"/>
  <c r="AB2" i="6"/>
  <c r="AB3" i="6" s="1"/>
  <c r="X2" i="6"/>
  <c r="X3" i="6" s="1"/>
  <c r="T2" i="6"/>
  <c r="T3" i="6" s="1"/>
  <c r="L2" i="6"/>
  <c r="L3" i="6" s="1"/>
  <c r="H2" i="6"/>
  <c r="H3" i="6" s="1"/>
  <c r="CW2" i="6"/>
  <c r="CW3" i="6" s="1"/>
  <c r="CN2" i="6"/>
  <c r="CN3" i="6" s="1"/>
  <c r="AN2" i="6"/>
  <c r="AN3" i="6" s="1"/>
  <c r="D3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CZ2" i="6"/>
  <c r="CZ3" i="6" s="1"/>
  <c r="AT2" i="6"/>
  <c r="AT3" i="6" s="1"/>
  <c r="AF2" i="6"/>
  <c r="AF3" i="6" s="1"/>
  <c r="V2" i="6"/>
  <c r="V3" i="6" s="1"/>
  <c r="I2" i="6"/>
  <c r="I3" i="6" s="1"/>
  <c r="CV2" i="6"/>
  <c r="CV3" i="6" s="1"/>
  <c r="CU2" i="6"/>
  <c r="CU3" i="6" s="1"/>
  <c r="CT2" i="6"/>
  <c r="CT3" i="6" s="1"/>
  <c r="CM2" i="6"/>
  <c r="CM3" i="6" s="1"/>
  <c r="CL2" i="6"/>
  <c r="CL3" i="6" s="1"/>
  <c r="CE2" i="6"/>
  <c r="CE3" i="6" s="1"/>
  <c r="CD2" i="6"/>
  <c r="CD3" i="6" s="1"/>
  <c r="BW2" i="6"/>
  <c r="BW3" i="6" s="1"/>
  <c r="BV2" i="6"/>
  <c r="BV3" i="6" s="1"/>
  <c r="BO2" i="6"/>
  <c r="BO3" i="6" s="1"/>
  <c r="BN2" i="6"/>
  <c r="BN3" i="6" s="1"/>
  <c r="BJ2" i="6"/>
  <c r="BJ3" i="6" s="1"/>
  <c r="BG2" i="6"/>
  <c r="BG3" i="6" s="1"/>
  <c r="BF2" i="6"/>
  <c r="BF3" i="6" s="1"/>
  <c r="AY2" i="6"/>
  <c r="AY3" i="6" s="1"/>
  <c r="AX2" i="6"/>
  <c r="AX3" i="6" s="1"/>
  <c r="AQ2" i="6"/>
  <c r="AQ3" i="6" s="1"/>
  <c r="AI2" i="6"/>
  <c r="AI3" i="6" s="1"/>
  <c r="AH2" i="6"/>
  <c r="AH3" i="6" s="1"/>
  <c r="AA2" i="6"/>
  <c r="AA3" i="6" s="1"/>
  <c r="Z2" i="6"/>
  <c r="Z3" i="6" s="1"/>
  <c r="U2" i="6"/>
  <c r="U3" i="6" s="1"/>
  <c r="S2" i="6"/>
  <c r="S3" i="6" s="1"/>
  <c r="R2" i="6"/>
  <c r="R3" i="6" s="1"/>
  <c r="O2" i="6"/>
  <c r="O3" i="6" s="1"/>
  <c r="K2" i="6"/>
  <c r="K3" i="6" s="1"/>
  <c r="CA2" i="6"/>
  <c r="CA3" i="6" s="1"/>
  <c r="BQ2" i="6"/>
  <c r="BQ3" i="6" s="1"/>
  <c r="AP2" i="6"/>
  <c r="AP3" i="6" s="1"/>
  <c r="AW2" i="6"/>
  <c r="AW3" i="6" s="1"/>
  <c r="J2" i="6"/>
  <c r="J3" i="6" s="1"/>
  <c r="B37" i="6"/>
  <c r="C37" i="6"/>
  <c r="D37" i="6"/>
  <c r="E37" i="6"/>
  <c r="B38" i="6"/>
  <c r="C38" i="6"/>
  <c r="D38" i="6"/>
  <c r="E38" i="6"/>
  <c r="B39" i="6"/>
  <c r="C39" i="6"/>
  <c r="D39" i="6"/>
  <c r="E39" i="6"/>
  <c r="B40" i="6"/>
  <c r="C40" i="6"/>
  <c r="D40" i="6"/>
  <c r="E40" i="6"/>
  <c r="B41" i="6"/>
  <c r="C41" i="6"/>
  <c r="D41" i="6"/>
  <c r="E41" i="6"/>
  <c r="B42" i="6"/>
  <c r="C42" i="6"/>
  <c r="D42" i="6"/>
  <c r="E42" i="6"/>
  <c r="B43" i="6"/>
  <c r="C43" i="6"/>
  <c r="D43" i="6"/>
  <c r="E43" i="6"/>
  <c r="B44" i="6"/>
  <c r="C44" i="6"/>
  <c r="D44" i="6"/>
  <c r="E44" i="6"/>
  <c r="B45" i="6"/>
  <c r="C45" i="6"/>
  <c r="D45" i="6"/>
  <c r="E45" i="6"/>
  <c r="B46" i="6"/>
  <c r="C46" i="6"/>
  <c r="D46" i="6"/>
  <c r="E46" i="6"/>
  <c r="B47" i="6"/>
  <c r="C47" i="6"/>
  <c r="D47" i="6"/>
  <c r="E47" i="6"/>
  <c r="B48" i="6"/>
  <c r="C48" i="6"/>
  <c r="D48" i="6"/>
  <c r="E48" i="6"/>
  <c r="B49" i="6"/>
  <c r="C49" i="6"/>
  <c r="D49" i="6"/>
  <c r="E49" i="6"/>
  <c r="B50" i="6"/>
  <c r="C50" i="6"/>
  <c r="D50" i="6"/>
  <c r="E50" i="6"/>
  <c r="B51" i="6"/>
  <c r="C51" i="6"/>
  <c r="D51" i="6"/>
  <c r="E51" i="6"/>
  <c r="B52" i="6"/>
  <c r="C52" i="6"/>
  <c r="D52" i="6"/>
  <c r="E52" i="6"/>
  <c r="B53" i="6"/>
  <c r="C53" i="6"/>
  <c r="D53" i="6"/>
  <c r="E53" i="6"/>
  <c r="B54" i="6"/>
  <c r="C54" i="6"/>
  <c r="D54" i="6"/>
  <c r="E54" i="6"/>
  <c r="B55" i="6"/>
  <c r="C55" i="6"/>
  <c r="D55" i="6"/>
  <c r="E55" i="6"/>
  <c r="B56" i="6"/>
  <c r="C56" i="6"/>
  <c r="D56" i="6"/>
  <c r="E56" i="6"/>
  <c r="B57" i="6"/>
  <c r="C57" i="6"/>
  <c r="D57" i="6"/>
  <c r="E57" i="6"/>
  <c r="B58" i="6"/>
  <c r="C58" i="6"/>
  <c r="D58" i="6"/>
  <c r="E58" i="6"/>
  <c r="B59" i="6"/>
  <c r="C59" i="6"/>
  <c r="D59" i="6"/>
  <c r="E59" i="6"/>
  <c r="B60" i="6"/>
  <c r="C60" i="6"/>
  <c r="D60" i="6"/>
  <c r="E60" i="6"/>
  <c r="B61" i="6"/>
  <c r="C61" i="6"/>
  <c r="D61" i="6"/>
  <c r="E61" i="6"/>
  <c r="B62" i="6"/>
  <c r="C62" i="6"/>
  <c r="D62" i="6"/>
  <c r="E62" i="6"/>
  <c r="B63" i="6"/>
  <c r="C63" i="6"/>
  <c r="D63" i="6"/>
  <c r="E63" i="6"/>
  <c r="B64" i="6"/>
  <c r="C64" i="6"/>
  <c r="D64" i="6"/>
  <c r="E64" i="6"/>
  <c r="B65" i="6"/>
  <c r="C65" i="6"/>
  <c r="D65" i="6"/>
  <c r="E65" i="6"/>
  <c r="B66" i="6"/>
  <c r="C66" i="6"/>
  <c r="D66" i="6"/>
  <c r="E66" i="6"/>
  <c r="B67" i="6"/>
  <c r="C67" i="6"/>
  <c r="D67" i="6"/>
  <c r="E67" i="6"/>
  <c r="B68" i="6"/>
  <c r="C68" i="6"/>
  <c r="D68" i="6"/>
  <c r="E68" i="6"/>
  <c r="B69" i="6"/>
  <c r="C69" i="6"/>
  <c r="D69" i="6"/>
  <c r="E69" i="6"/>
  <c r="B70" i="6"/>
  <c r="C70" i="6"/>
  <c r="D70" i="6"/>
  <c r="E70" i="6"/>
  <c r="B71" i="6"/>
  <c r="C71" i="6"/>
  <c r="D71" i="6"/>
  <c r="E71" i="6"/>
  <c r="B72" i="6"/>
  <c r="C72" i="6"/>
  <c r="D72" i="6"/>
  <c r="E72" i="6"/>
  <c r="B73" i="6"/>
  <c r="C73" i="6"/>
  <c r="D73" i="6"/>
  <c r="E73" i="6"/>
  <c r="B74" i="6"/>
  <c r="C74" i="6"/>
  <c r="D74" i="6"/>
  <c r="E74" i="6"/>
  <c r="B75" i="6"/>
  <c r="C75" i="6"/>
  <c r="D75" i="6"/>
  <c r="E75" i="6"/>
  <c r="B76" i="6"/>
  <c r="C76" i="6"/>
  <c r="D76" i="6"/>
  <c r="E76" i="6"/>
  <c r="B77" i="6"/>
  <c r="C77" i="6"/>
  <c r="D77" i="6"/>
  <c r="E77" i="6"/>
  <c r="B78" i="6"/>
  <c r="C78" i="6"/>
  <c r="D78" i="6"/>
  <c r="E78" i="6"/>
  <c r="B79" i="6"/>
  <c r="C79" i="6"/>
  <c r="D79" i="6"/>
  <c r="E79" i="6"/>
  <c r="B80" i="6"/>
  <c r="C80" i="6"/>
  <c r="D80" i="6"/>
  <c r="E80" i="6"/>
  <c r="B81" i="6"/>
  <c r="C81" i="6"/>
  <c r="D81" i="6"/>
  <c r="E81" i="6"/>
  <c r="B82" i="6"/>
  <c r="C82" i="6"/>
  <c r="D82" i="6"/>
  <c r="E82" i="6"/>
  <c r="B83" i="6"/>
  <c r="C83" i="6"/>
  <c r="D83" i="6"/>
  <c r="E83" i="6"/>
  <c r="B84" i="6"/>
  <c r="C84" i="6"/>
  <c r="D84" i="6"/>
  <c r="E84" i="6"/>
  <c r="B85" i="6"/>
  <c r="C85" i="6"/>
  <c r="D85" i="6"/>
  <c r="E85" i="6"/>
  <c r="B86" i="6"/>
  <c r="C86" i="6"/>
  <c r="D86" i="6"/>
  <c r="E86" i="6"/>
  <c r="B87" i="6"/>
  <c r="C87" i="6"/>
  <c r="D87" i="6"/>
  <c r="E87" i="6"/>
  <c r="B88" i="6"/>
  <c r="C88" i="6"/>
  <c r="D88" i="6"/>
  <c r="E88" i="6"/>
  <c r="B89" i="6"/>
  <c r="C89" i="6"/>
  <c r="D89" i="6"/>
  <c r="E89" i="6"/>
  <c r="B90" i="6"/>
  <c r="C90" i="6"/>
  <c r="D90" i="6"/>
  <c r="E90" i="6"/>
  <c r="B91" i="6"/>
  <c r="C91" i="6"/>
  <c r="D91" i="6"/>
  <c r="E91" i="6"/>
  <c r="B92" i="6"/>
  <c r="C92" i="6"/>
  <c r="D92" i="6"/>
  <c r="E92" i="6"/>
  <c r="B93" i="6"/>
  <c r="C93" i="6"/>
  <c r="D93" i="6"/>
  <c r="E93" i="6"/>
  <c r="B94" i="6"/>
  <c r="C94" i="6"/>
  <c r="D94" i="6"/>
  <c r="E94" i="6"/>
  <c r="B95" i="6"/>
  <c r="C95" i="6"/>
  <c r="D95" i="6"/>
  <c r="E95" i="6"/>
  <c r="B96" i="6"/>
  <c r="C96" i="6"/>
  <c r="D96" i="6"/>
  <c r="E96" i="6"/>
  <c r="B97" i="6"/>
  <c r="C97" i="6"/>
  <c r="D97" i="6"/>
  <c r="E97" i="6"/>
  <c r="B98" i="6"/>
  <c r="C98" i="6"/>
  <c r="D98" i="6"/>
  <c r="E98" i="6"/>
  <c r="B99" i="6"/>
  <c r="C99" i="6"/>
  <c r="D99" i="6"/>
  <c r="E99" i="6"/>
  <c r="B100" i="6"/>
  <c r="C100" i="6"/>
  <c r="D100" i="6"/>
  <c r="E100" i="6"/>
  <c r="B101" i="6"/>
  <c r="C101" i="6"/>
  <c r="D101" i="6"/>
  <c r="E101" i="6"/>
  <c r="B102" i="6"/>
  <c r="C102" i="6"/>
  <c r="D102" i="6"/>
  <c r="E102" i="6"/>
  <c r="B103" i="6"/>
  <c r="C103" i="6"/>
  <c r="D103" i="6"/>
  <c r="E103" i="6"/>
  <c r="B104" i="6"/>
  <c r="C104" i="6"/>
  <c r="D104" i="6"/>
  <c r="E104" i="6"/>
  <c r="B105" i="6"/>
  <c r="C105" i="6"/>
  <c r="D105" i="6"/>
  <c r="E105" i="6"/>
  <c r="B106" i="6"/>
  <c r="C106" i="6"/>
  <c r="D106" i="6"/>
  <c r="E106" i="6"/>
  <c r="B107" i="6"/>
  <c r="C107" i="6"/>
  <c r="D107" i="6"/>
  <c r="E107" i="6"/>
  <c r="B108" i="6"/>
  <c r="C108" i="6"/>
  <c r="D108" i="6"/>
  <c r="E108" i="6"/>
  <c r="B109" i="6"/>
  <c r="C109" i="6"/>
  <c r="D109" i="6"/>
  <c r="E109" i="6"/>
  <c r="B110" i="6"/>
  <c r="C110" i="6"/>
  <c r="D110" i="6"/>
  <c r="E110" i="6"/>
  <c r="B111" i="6"/>
  <c r="C111" i="6"/>
  <c r="D111" i="6"/>
  <c r="E111" i="6"/>
  <c r="B112" i="6"/>
  <c r="C112" i="6"/>
  <c r="D112" i="6"/>
  <c r="E112" i="6"/>
  <c r="B113" i="6"/>
  <c r="C113" i="6"/>
  <c r="D113" i="6"/>
  <c r="E113" i="6"/>
  <c r="B114" i="6"/>
  <c r="C114" i="6"/>
  <c r="D114" i="6"/>
  <c r="E114" i="6"/>
  <c r="B115" i="6"/>
  <c r="C115" i="6"/>
  <c r="D115" i="6"/>
  <c r="E115" i="6"/>
  <c r="B116" i="6"/>
  <c r="C116" i="6"/>
  <c r="D116" i="6"/>
  <c r="E116" i="6"/>
  <c r="B117" i="6"/>
  <c r="C117" i="6"/>
  <c r="D117" i="6"/>
  <c r="E117" i="6"/>
  <c r="B118" i="6"/>
  <c r="C118" i="6"/>
  <c r="D118" i="6"/>
  <c r="E118" i="6"/>
  <c r="B119" i="6"/>
  <c r="C119" i="6"/>
  <c r="D119" i="6"/>
  <c r="E119" i="6"/>
  <c r="B120" i="6"/>
  <c r="C120" i="6"/>
  <c r="D120" i="6"/>
  <c r="E120" i="6"/>
  <c r="B121" i="6"/>
  <c r="C121" i="6"/>
  <c r="D121" i="6"/>
  <c r="E121" i="6"/>
  <c r="B122" i="6"/>
  <c r="C122" i="6"/>
  <c r="D122" i="6"/>
  <c r="E122" i="6"/>
  <c r="B123" i="6"/>
  <c r="C123" i="6"/>
  <c r="D123" i="6"/>
  <c r="E123" i="6"/>
  <c r="B124" i="6"/>
  <c r="C124" i="6"/>
  <c r="D124" i="6"/>
  <c r="E124" i="6"/>
  <c r="B125" i="6"/>
  <c r="C125" i="6"/>
  <c r="D125" i="6"/>
  <c r="E125" i="6"/>
  <c r="B126" i="6"/>
  <c r="C126" i="6"/>
  <c r="D126" i="6"/>
  <c r="E126" i="6"/>
  <c r="B127" i="6"/>
  <c r="C127" i="6"/>
  <c r="D127" i="6"/>
  <c r="E127" i="6"/>
  <c r="B128" i="6"/>
  <c r="C128" i="6"/>
  <c r="D128" i="6"/>
  <c r="E128" i="6"/>
  <c r="B129" i="6"/>
  <c r="C129" i="6"/>
  <c r="D129" i="6"/>
  <c r="E129" i="6"/>
  <c r="B130" i="6"/>
  <c r="C130" i="6"/>
  <c r="D130" i="6"/>
  <c r="E130" i="6"/>
  <c r="B131" i="6"/>
  <c r="C131" i="6"/>
  <c r="D131" i="6"/>
  <c r="E131" i="6"/>
  <c r="B132" i="6"/>
  <c r="C132" i="6"/>
  <c r="D132" i="6"/>
  <c r="E132" i="6"/>
  <c r="B133" i="6"/>
  <c r="C133" i="6"/>
  <c r="D133" i="6"/>
  <c r="E133" i="6"/>
  <c r="B134" i="6"/>
  <c r="C134" i="6"/>
  <c r="D134" i="6"/>
  <c r="E134" i="6"/>
  <c r="B135" i="6"/>
  <c r="C135" i="6"/>
  <c r="D135" i="6"/>
  <c r="E135" i="6"/>
  <c r="B136" i="6"/>
  <c r="C136" i="6"/>
  <c r="D136" i="6"/>
  <c r="E136" i="6"/>
  <c r="B137" i="6"/>
  <c r="C137" i="6"/>
  <c r="D137" i="6"/>
  <c r="E137" i="6"/>
  <c r="B138" i="6"/>
  <c r="C138" i="6"/>
  <c r="D138" i="6"/>
  <c r="E138" i="6"/>
  <c r="B139" i="6"/>
  <c r="C139" i="6"/>
  <c r="D139" i="6"/>
  <c r="E139" i="6"/>
  <c r="B140" i="6"/>
  <c r="C140" i="6"/>
  <c r="D140" i="6"/>
  <c r="E140" i="6"/>
  <c r="B141" i="6"/>
  <c r="C141" i="6"/>
  <c r="D141" i="6"/>
  <c r="E141" i="6"/>
  <c r="B142" i="6"/>
  <c r="C142" i="6"/>
  <c r="D142" i="6"/>
  <c r="E142" i="6"/>
  <c r="B143" i="6"/>
  <c r="C143" i="6"/>
  <c r="D143" i="6"/>
  <c r="E143" i="6"/>
  <c r="B144" i="6"/>
  <c r="C144" i="6"/>
  <c r="D144" i="6"/>
  <c r="E144" i="6"/>
  <c r="B145" i="6"/>
  <c r="C145" i="6"/>
  <c r="D145" i="6"/>
  <c r="E145" i="6"/>
  <c r="B146" i="6"/>
  <c r="C146" i="6"/>
  <c r="D146" i="6"/>
  <c r="E146" i="6"/>
  <c r="B147" i="6"/>
  <c r="C147" i="6"/>
  <c r="D147" i="6"/>
  <c r="E147" i="6"/>
  <c r="B148" i="6"/>
  <c r="C148" i="6"/>
  <c r="D148" i="6"/>
  <c r="E148" i="6"/>
  <c r="B149" i="6"/>
  <c r="C149" i="6"/>
  <c r="D149" i="6"/>
  <c r="E149" i="6"/>
  <c r="B150" i="6"/>
  <c r="C150" i="6"/>
  <c r="D150" i="6"/>
  <c r="E150" i="6"/>
  <c r="B151" i="6"/>
  <c r="C151" i="6"/>
  <c r="D151" i="6"/>
  <c r="E151" i="6"/>
  <c r="B152" i="6"/>
  <c r="C152" i="6"/>
  <c r="D152" i="6"/>
  <c r="E152" i="6"/>
  <c r="B153" i="6"/>
  <c r="C153" i="6"/>
  <c r="D153" i="6"/>
  <c r="E153" i="6"/>
  <c r="B154" i="6"/>
  <c r="C154" i="6"/>
  <c r="D154" i="6"/>
  <c r="E154" i="6"/>
  <c r="B155" i="6"/>
  <c r="C155" i="6"/>
  <c r="D155" i="6"/>
  <c r="E155" i="6"/>
  <c r="B156" i="6"/>
  <c r="C156" i="6"/>
  <c r="D156" i="6"/>
  <c r="E156" i="6"/>
  <c r="B157" i="6"/>
  <c r="C157" i="6"/>
  <c r="D157" i="6"/>
  <c r="E157" i="6"/>
  <c r="B158" i="6"/>
  <c r="C158" i="6"/>
  <c r="D158" i="6"/>
  <c r="E158" i="6"/>
  <c r="B159" i="6"/>
  <c r="C159" i="6"/>
  <c r="D159" i="6"/>
  <c r="E159" i="6"/>
  <c r="B160" i="6"/>
  <c r="C160" i="6"/>
  <c r="D160" i="6"/>
  <c r="E160" i="6"/>
  <c r="B161" i="6"/>
  <c r="C161" i="6"/>
  <c r="D161" i="6"/>
  <c r="E161" i="6"/>
  <c r="B162" i="6"/>
  <c r="C162" i="6"/>
  <c r="D162" i="6"/>
  <c r="E162" i="6"/>
  <c r="B163" i="6"/>
  <c r="C163" i="6"/>
  <c r="D163" i="6"/>
  <c r="E163" i="6"/>
  <c r="B164" i="6"/>
  <c r="C164" i="6"/>
  <c r="D164" i="6"/>
  <c r="E164" i="6"/>
  <c r="B165" i="6"/>
  <c r="C165" i="6"/>
  <c r="D165" i="6"/>
  <c r="E165" i="6"/>
  <c r="B166" i="6"/>
  <c r="C166" i="6"/>
  <c r="D166" i="6"/>
  <c r="E166" i="6"/>
  <c r="B167" i="6"/>
  <c r="C167" i="6"/>
  <c r="D167" i="6"/>
  <c r="E167" i="6"/>
  <c r="B168" i="6"/>
  <c r="C168" i="6"/>
  <c r="D168" i="6"/>
  <c r="E168" i="6"/>
  <c r="B169" i="6"/>
  <c r="C169" i="6"/>
  <c r="D169" i="6"/>
  <c r="E169" i="6"/>
  <c r="B170" i="6"/>
  <c r="C170" i="6"/>
  <c r="D170" i="6"/>
  <c r="E170" i="6"/>
  <c r="B171" i="6"/>
  <c r="C171" i="6"/>
  <c r="D171" i="6"/>
  <c r="E171" i="6"/>
  <c r="B172" i="6"/>
  <c r="C172" i="6"/>
  <c r="D172" i="6"/>
  <c r="E172" i="6"/>
  <c r="B173" i="6"/>
  <c r="C173" i="6"/>
  <c r="D173" i="6"/>
  <c r="E173" i="6"/>
  <c r="B174" i="6"/>
  <c r="C174" i="6"/>
  <c r="D174" i="6"/>
  <c r="E174" i="6"/>
  <c r="B175" i="6"/>
  <c r="C175" i="6"/>
  <c r="D175" i="6"/>
  <c r="E175" i="6"/>
  <c r="B176" i="6"/>
  <c r="C176" i="6"/>
  <c r="D176" i="6"/>
  <c r="E176" i="6"/>
  <c r="B177" i="6"/>
  <c r="C177" i="6"/>
  <c r="D177" i="6"/>
  <c r="E177" i="6"/>
  <c r="B178" i="6"/>
  <c r="C178" i="6"/>
  <c r="D178" i="6"/>
  <c r="E178" i="6"/>
  <c r="B179" i="6"/>
  <c r="C179" i="6"/>
  <c r="D179" i="6"/>
  <c r="E179" i="6"/>
  <c r="B180" i="6"/>
  <c r="C180" i="6"/>
  <c r="D180" i="6"/>
  <c r="E180" i="6"/>
  <c r="B181" i="6"/>
  <c r="C181" i="6"/>
  <c r="D181" i="6"/>
  <c r="E181" i="6"/>
  <c r="B182" i="6"/>
  <c r="C182" i="6"/>
  <c r="D182" i="6"/>
  <c r="E182" i="6"/>
  <c r="B183" i="6"/>
  <c r="C183" i="6"/>
  <c r="D183" i="6"/>
  <c r="E183" i="6"/>
  <c r="B184" i="6"/>
  <c r="C184" i="6"/>
  <c r="D184" i="6"/>
  <c r="E184" i="6"/>
  <c r="B185" i="6"/>
  <c r="C185" i="6"/>
  <c r="D185" i="6"/>
  <c r="E185" i="6"/>
  <c r="B186" i="6"/>
  <c r="C186" i="6"/>
  <c r="D186" i="6"/>
  <c r="E186" i="6"/>
  <c r="B187" i="6"/>
  <c r="C187" i="6"/>
  <c r="D187" i="6"/>
  <c r="E187" i="6"/>
  <c r="B188" i="6"/>
  <c r="C188" i="6"/>
  <c r="D188" i="6"/>
  <c r="E188" i="6"/>
  <c r="B189" i="6"/>
  <c r="C189" i="6"/>
  <c r="D189" i="6"/>
  <c r="E189" i="6"/>
  <c r="B190" i="6"/>
  <c r="C190" i="6"/>
  <c r="D190" i="6"/>
  <c r="E190" i="6"/>
  <c r="B191" i="6"/>
  <c r="C191" i="6"/>
  <c r="D191" i="6"/>
  <c r="E191" i="6"/>
  <c r="B192" i="6"/>
  <c r="C192" i="6"/>
  <c r="D192" i="6"/>
  <c r="E192" i="6"/>
  <c r="B193" i="6"/>
  <c r="C193" i="6"/>
  <c r="D193" i="6"/>
  <c r="E193" i="6"/>
  <c r="B194" i="6"/>
  <c r="C194" i="6"/>
  <c r="D194" i="6"/>
  <c r="E194" i="6"/>
  <c r="B195" i="6"/>
  <c r="C195" i="6"/>
  <c r="D195" i="6"/>
  <c r="E195" i="6"/>
  <c r="B196" i="6"/>
  <c r="C196" i="6"/>
  <c r="D196" i="6"/>
  <c r="E196" i="6"/>
  <c r="B197" i="6"/>
  <c r="C197" i="6"/>
  <c r="D197" i="6"/>
  <c r="E197" i="6"/>
  <c r="B198" i="6"/>
  <c r="C198" i="6"/>
  <c r="D198" i="6"/>
  <c r="E198" i="6"/>
  <c r="B199" i="6"/>
  <c r="C199" i="6"/>
  <c r="D199" i="6"/>
  <c r="E199" i="6"/>
  <c r="B200" i="6"/>
  <c r="C200" i="6"/>
  <c r="D200" i="6"/>
  <c r="E200" i="6"/>
  <c r="B201" i="6"/>
  <c r="C201" i="6"/>
  <c r="D201" i="6"/>
  <c r="E201" i="6"/>
  <c r="B202" i="6"/>
  <c r="C202" i="6"/>
  <c r="D202" i="6"/>
  <c r="E202" i="6"/>
  <c r="B203" i="6"/>
  <c r="C203" i="6"/>
  <c r="D203" i="6"/>
  <c r="E203" i="6"/>
  <c r="B204" i="6"/>
  <c r="C204" i="6"/>
  <c r="D204" i="6"/>
  <c r="E204" i="6"/>
  <c r="B205" i="6"/>
  <c r="C205" i="6"/>
  <c r="D205" i="6"/>
  <c r="E205" i="6"/>
  <c r="B206" i="6"/>
  <c r="C206" i="6"/>
  <c r="D206" i="6"/>
  <c r="E206" i="6"/>
  <c r="B207" i="6"/>
  <c r="C207" i="6"/>
  <c r="D207" i="6"/>
  <c r="E207" i="6"/>
  <c r="B208" i="6"/>
  <c r="C208" i="6"/>
  <c r="D208" i="6"/>
  <c r="E208" i="6"/>
  <c r="B209" i="6"/>
  <c r="C209" i="6"/>
  <c r="D209" i="6"/>
  <c r="E209" i="6"/>
  <c r="B210" i="6"/>
  <c r="C210" i="6"/>
  <c r="D210" i="6"/>
  <c r="E210" i="6"/>
  <c r="B211" i="6"/>
  <c r="C211" i="6"/>
  <c r="D211" i="6"/>
  <c r="E211" i="6"/>
  <c r="B212" i="6"/>
  <c r="C212" i="6"/>
  <c r="D212" i="6"/>
  <c r="E212" i="6"/>
  <c r="B213" i="6"/>
  <c r="C213" i="6"/>
  <c r="D213" i="6"/>
  <c r="E213" i="6"/>
  <c r="B214" i="6"/>
  <c r="C214" i="6"/>
  <c r="D214" i="6"/>
  <c r="E214" i="6"/>
  <c r="B215" i="6"/>
  <c r="C215" i="6"/>
  <c r="D215" i="6"/>
  <c r="E215" i="6"/>
  <c r="B216" i="6"/>
  <c r="C216" i="6"/>
  <c r="D216" i="6"/>
  <c r="E216" i="6"/>
  <c r="B217" i="6"/>
  <c r="C217" i="6"/>
  <c r="D217" i="6"/>
  <c r="E217" i="6"/>
  <c r="B218" i="6"/>
  <c r="C218" i="6"/>
  <c r="D218" i="6"/>
  <c r="E218" i="6"/>
  <c r="B219" i="6"/>
  <c r="C219" i="6"/>
  <c r="D219" i="6"/>
  <c r="E219" i="6"/>
  <c r="B220" i="6"/>
  <c r="C220" i="6"/>
  <c r="D220" i="6"/>
  <c r="E220" i="6"/>
  <c r="B221" i="6"/>
  <c r="C221" i="6"/>
  <c r="D221" i="6"/>
  <c r="E221" i="6"/>
  <c r="B222" i="6"/>
  <c r="C222" i="6"/>
  <c r="D222" i="6"/>
  <c r="E222" i="6"/>
  <c r="B223" i="6"/>
  <c r="C223" i="6"/>
  <c r="D223" i="6"/>
  <c r="E223" i="6"/>
  <c r="B224" i="6"/>
  <c r="C224" i="6"/>
  <c r="D224" i="6"/>
  <c r="E224" i="6"/>
  <c r="B225" i="6"/>
  <c r="C225" i="6"/>
  <c r="D225" i="6"/>
  <c r="E225" i="6"/>
  <c r="B226" i="6"/>
  <c r="C226" i="6"/>
  <c r="D226" i="6"/>
  <c r="E226" i="6"/>
  <c r="B227" i="6"/>
  <c r="C227" i="6"/>
  <c r="D227" i="6"/>
  <c r="E227" i="6"/>
  <c r="B228" i="6"/>
  <c r="C228" i="6"/>
  <c r="D228" i="6"/>
  <c r="E228" i="6"/>
  <c r="B229" i="6"/>
  <c r="C229" i="6"/>
  <c r="D229" i="6"/>
  <c r="E229" i="6"/>
  <c r="B230" i="6"/>
  <c r="C230" i="6"/>
  <c r="D230" i="6"/>
  <c r="E230" i="6"/>
  <c r="B231" i="6"/>
  <c r="C231" i="6"/>
  <c r="D231" i="6"/>
  <c r="E231" i="6"/>
  <c r="B232" i="6"/>
  <c r="C232" i="6"/>
  <c r="D232" i="6"/>
  <c r="E232" i="6"/>
  <c r="B233" i="6"/>
  <c r="C233" i="6"/>
  <c r="D233" i="6"/>
  <c r="E233" i="6"/>
  <c r="B234" i="6"/>
  <c r="C234" i="6"/>
  <c r="D234" i="6"/>
  <c r="E234" i="6"/>
  <c r="B235" i="6"/>
  <c r="C235" i="6"/>
  <c r="D235" i="6"/>
  <c r="E235" i="6"/>
  <c r="B236" i="6"/>
  <c r="C236" i="6"/>
  <c r="D236" i="6"/>
  <c r="E236" i="6"/>
  <c r="B237" i="6"/>
  <c r="C237" i="6"/>
  <c r="D237" i="6"/>
  <c r="E237" i="6"/>
  <c r="B238" i="6"/>
  <c r="C238" i="6"/>
  <c r="D238" i="6"/>
  <c r="E238" i="6"/>
  <c r="B239" i="6"/>
  <c r="C239" i="6"/>
  <c r="D239" i="6"/>
  <c r="E239" i="6"/>
  <c r="B240" i="6"/>
  <c r="C240" i="6"/>
  <c r="D240" i="6"/>
  <c r="E240" i="6"/>
  <c r="B241" i="6"/>
  <c r="C241" i="6"/>
  <c r="D241" i="6"/>
  <c r="E241" i="6"/>
  <c r="B242" i="6"/>
  <c r="C242" i="6"/>
  <c r="D242" i="6"/>
  <c r="E242" i="6"/>
  <c r="B243" i="6"/>
  <c r="C243" i="6"/>
  <c r="D243" i="6"/>
  <c r="E243" i="6"/>
  <c r="B244" i="6"/>
  <c r="C244" i="6"/>
  <c r="D244" i="6"/>
  <c r="E244" i="6"/>
  <c r="B245" i="6"/>
  <c r="C245" i="6"/>
  <c r="D245" i="6"/>
  <c r="E245" i="6"/>
  <c r="B246" i="6"/>
  <c r="C246" i="6"/>
  <c r="D246" i="6"/>
  <c r="E246" i="6"/>
  <c r="B247" i="6"/>
  <c r="C247" i="6"/>
  <c r="D247" i="6"/>
  <c r="E247" i="6"/>
  <c r="B248" i="6"/>
  <c r="C248" i="6"/>
  <c r="D248" i="6"/>
  <c r="E248" i="6"/>
  <c r="B249" i="6"/>
  <c r="C249" i="6"/>
  <c r="D249" i="6"/>
  <c r="E249" i="6"/>
  <c r="B250" i="6"/>
  <c r="C250" i="6"/>
  <c r="D250" i="6"/>
  <c r="E250" i="6"/>
  <c r="B251" i="6"/>
  <c r="C251" i="6"/>
  <c r="D251" i="6"/>
  <c r="E251" i="6"/>
  <c r="B252" i="6"/>
  <c r="C252" i="6"/>
  <c r="D252" i="6"/>
  <c r="E252" i="6"/>
  <c r="B253" i="6"/>
  <c r="C253" i="6"/>
  <c r="D253" i="6"/>
  <c r="E253" i="6"/>
  <c r="B254" i="6"/>
  <c r="C254" i="6"/>
  <c r="D254" i="6"/>
  <c r="E254" i="6"/>
  <c r="B255" i="6"/>
  <c r="C255" i="6"/>
  <c r="D255" i="6"/>
  <c r="E255" i="6"/>
  <c r="B256" i="6"/>
  <c r="C256" i="6"/>
  <c r="D256" i="6"/>
  <c r="E256" i="6"/>
  <c r="B257" i="6"/>
  <c r="C257" i="6"/>
  <c r="D257" i="6"/>
  <c r="E257" i="6"/>
  <c r="B258" i="6"/>
  <c r="C258" i="6"/>
  <c r="D258" i="6"/>
  <c r="E258" i="6"/>
  <c r="B259" i="6"/>
  <c r="C259" i="6"/>
  <c r="D259" i="6"/>
  <c r="E259" i="6"/>
  <c r="B260" i="6"/>
  <c r="C260" i="6"/>
  <c r="D260" i="6"/>
  <c r="E260" i="6"/>
  <c r="B261" i="6"/>
  <c r="C261" i="6"/>
  <c r="D261" i="6"/>
  <c r="E261" i="6"/>
  <c r="B262" i="6"/>
  <c r="C262" i="6"/>
  <c r="D262" i="6"/>
  <c r="E262" i="6"/>
  <c r="B263" i="6"/>
  <c r="C263" i="6"/>
  <c r="D263" i="6"/>
  <c r="E263" i="6"/>
  <c r="B264" i="6"/>
  <c r="C264" i="6"/>
  <c r="D264" i="6"/>
  <c r="E264" i="6"/>
  <c r="B265" i="6"/>
  <c r="C265" i="6"/>
  <c r="D265" i="6"/>
  <c r="E265" i="6"/>
  <c r="B266" i="6"/>
  <c r="C266" i="6"/>
  <c r="D266" i="6"/>
  <c r="E266" i="6"/>
  <c r="B267" i="6"/>
  <c r="C267" i="6"/>
  <c r="D267" i="6"/>
  <c r="E267" i="6"/>
  <c r="B268" i="6"/>
  <c r="C268" i="6"/>
  <c r="D268" i="6"/>
  <c r="E268" i="6"/>
  <c r="B269" i="6"/>
  <c r="C269" i="6"/>
  <c r="D269" i="6"/>
  <c r="E269" i="6"/>
  <c r="B270" i="6"/>
  <c r="C270" i="6"/>
  <c r="D270" i="6"/>
  <c r="E270" i="6"/>
  <c r="B271" i="6"/>
  <c r="C271" i="6"/>
  <c r="D271" i="6"/>
  <c r="E271" i="6"/>
  <c r="B272" i="6"/>
  <c r="C272" i="6"/>
  <c r="D272" i="6"/>
  <c r="E272" i="6"/>
  <c r="B273" i="6"/>
  <c r="C273" i="6"/>
  <c r="D273" i="6"/>
  <c r="E273" i="6"/>
  <c r="B274" i="6"/>
  <c r="C274" i="6"/>
  <c r="D274" i="6"/>
  <c r="E274" i="6"/>
  <c r="B275" i="6"/>
  <c r="C275" i="6"/>
  <c r="D275" i="6"/>
  <c r="E275" i="6"/>
  <c r="B276" i="6"/>
  <c r="C276" i="6"/>
  <c r="D276" i="6"/>
  <c r="E276" i="6"/>
  <c r="B277" i="6"/>
  <c r="C277" i="6"/>
  <c r="D277" i="6"/>
  <c r="E277" i="6"/>
  <c r="B278" i="6"/>
  <c r="C278" i="6"/>
  <c r="D278" i="6"/>
  <c r="E278" i="6"/>
  <c r="B279" i="6"/>
  <c r="C279" i="6"/>
  <c r="D279" i="6"/>
  <c r="E279" i="6"/>
  <c r="B280" i="6"/>
  <c r="C280" i="6"/>
  <c r="D280" i="6"/>
  <c r="E280" i="6"/>
  <c r="B281" i="6"/>
  <c r="C281" i="6"/>
  <c r="D281" i="6"/>
  <c r="E281" i="6"/>
  <c r="B282" i="6"/>
  <c r="C282" i="6"/>
  <c r="D282" i="6"/>
  <c r="E282" i="6"/>
  <c r="B283" i="6"/>
  <c r="C283" i="6"/>
  <c r="D283" i="6"/>
  <c r="E283" i="6"/>
  <c r="B284" i="6"/>
  <c r="C284" i="6"/>
  <c r="D284" i="6"/>
  <c r="E284" i="6"/>
  <c r="B285" i="6"/>
  <c r="C285" i="6"/>
  <c r="D285" i="6"/>
  <c r="E285" i="6"/>
  <c r="B286" i="6"/>
  <c r="C286" i="6"/>
  <c r="D286" i="6"/>
  <c r="E286" i="6"/>
  <c r="B287" i="6"/>
  <c r="C287" i="6"/>
  <c r="D287" i="6"/>
  <c r="E287" i="6"/>
  <c r="B288" i="6"/>
  <c r="C288" i="6"/>
  <c r="D288" i="6"/>
  <c r="E288" i="6"/>
  <c r="B289" i="6"/>
  <c r="C289" i="6"/>
  <c r="D289" i="6"/>
  <c r="E289" i="6"/>
  <c r="B290" i="6"/>
  <c r="C290" i="6"/>
  <c r="D290" i="6"/>
  <c r="E290" i="6"/>
  <c r="B291" i="6"/>
  <c r="C291" i="6"/>
  <c r="D291" i="6"/>
  <c r="E291" i="6"/>
  <c r="B292" i="6"/>
  <c r="C292" i="6"/>
  <c r="D292" i="6"/>
  <c r="E292" i="6"/>
  <c r="B293" i="6"/>
  <c r="C293" i="6"/>
  <c r="D293" i="6"/>
  <c r="E293" i="6"/>
  <c r="B294" i="6"/>
  <c r="C294" i="6"/>
  <c r="D294" i="6"/>
  <c r="E294" i="6"/>
  <c r="B295" i="6"/>
  <c r="C295" i="6"/>
  <c r="D295" i="6"/>
  <c r="E295" i="6"/>
  <c r="B296" i="6"/>
  <c r="C296" i="6"/>
  <c r="D296" i="6"/>
  <c r="E296" i="6"/>
  <c r="B297" i="6"/>
  <c r="C297" i="6"/>
  <c r="D297" i="6"/>
  <c r="E297" i="6"/>
  <c r="B298" i="6"/>
  <c r="C298" i="6"/>
  <c r="D298" i="6"/>
  <c r="E298" i="6"/>
  <c r="B299" i="6"/>
  <c r="C299" i="6"/>
  <c r="D299" i="6"/>
  <c r="E299" i="6"/>
  <c r="B300" i="6"/>
  <c r="C300" i="6"/>
  <c r="D300" i="6"/>
  <c r="E300" i="6"/>
  <c r="B301" i="6"/>
  <c r="C301" i="6"/>
  <c r="D301" i="6"/>
  <c r="E301" i="6"/>
  <c r="B302" i="6"/>
  <c r="C302" i="6"/>
  <c r="D302" i="6"/>
  <c r="E302" i="6"/>
  <c r="B303" i="6"/>
  <c r="C303" i="6"/>
  <c r="D303" i="6"/>
  <c r="E303" i="6"/>
  <c r="B304" i="6"/>
  <c r="C304" i="6"/>
  <c r="D304" i="6"/>
  <c r="E304" i="6"/>
  <c r="B305" i="6"/>
  <c r="C305" i="6"/>
  <c r="D305" i="6"/>
  <c r="E305" i="6"/>
  <c r="B306" i="6"/>
  <c r="C306" i="6"/>
  <c r="D306" i="6"/>
  <c r="E306" i="6"/>
  <c r="B307" i="6"/>
  <c r="C307" i="6"/>
  <c r="D307" i="6"/>
  <c r="E307" i="6"/>
  <c r="B308" i="6"/>
  <c r="C308" i="6"/>
  <c r="D308" i="6"/>
  <c r="E308" i="6"/>
  <c r="B309" i="6"/>
  <c r="C309" i="6"/>
  <c r="D309" i="6"/>
  <c r="E309" i="6"/>
  <c r="B310" i="6"/>
  <c r="C310" i="6"/>
  <c r="D310" i="6"/>
  <c r="E310" i="6"/>
  <c r="B311" i="6"/>
  <c r="C311" i="6"/>
  <c r="D311" i="6"/>
  <c r="E311" i="6"/>
  <c r="B312" i="6"/>
  <c r="C312" i="6"/>
  <c r="D312" i="6"/>
  <c r="E312" i="6"/>
  <c r="B313" i="6"/>
  <c r="C313" i="6"/>
  <c r="D313" i="6"/>
  <c r="E313" i="6"/>
  <c r="B314" i="6"/>
  <c r="C314" i="6"/>
  <c r="D314" i="6"/>
  <c r="E314" i="6"/>
  <c r="B315" i="6"/>
  <c r="C315" i="6"/>
  <c r="D315" i="6"/>
  <c r="E315" i="6"/>
  <c r="B316" i="6"/>
  <c r="C316" i="6"/>
  <c r="D316" i="6"/>
  <c r="E316" i="6"/>
  <c r="B317" i="6"/>
  <c r="C317" i="6"/>
  <c r="D317" i="6"/>
  <c r="E317" i="6"/>
  <c r="B318" i="6"/>
  <c r="C318" i="6"/>
  <c r="D318" i="6"/>
  <c r="E318" i="6"/>
  <c r="B319" i="6"/>
  <c r="C319" i="6"/>
  <c r="D319" i="6"/>
  <c r="E319" i="6"/>
  <c r="B320" i="6"/>
  <c r="C320" i="6"/>
  <c r="D320" i="6"/>
  <c r="E320" i="6"/>
  <c r="B321" i="6"/>
  <c r="C321" i="6"/>
  <c r="D321" i="6"/>
  <c r="E321" i="6"/>
  <c r="B322" i="6"/>
  <c r="C322" i="6"/>
  <c r="D322" i="6"/>
  <c r="E322" i="6"/>
  <c r="B323" i="6"/>
  <c r="C323" i="6"/>
  <c r="D323" i="6"/>
  <c r="E323" i="6"/>
  <c r="B324" i="6"/>
  <c r="C324" i="6"/>
  <c r="D324" i="6"/>
  <c r="E324" i="6"/>
  <c r="B325" i="6"/>
  <c r="C325" i="6"/>
  <c r="D325" i="6"/>
  <c r="E325" i="6"/>
  <c r="B326" i="6"/>
  <c r="C326" i="6"/>
  <c r="D326" i="6"/>
  <c r="E326" i="6"/>
  <c r="B327" i="6"/>
  <c r="C327" i="6"/>
  <c r="D327" i="6"/>
  <c r="E327" i="6"/>
  <c r="B328" i="6"/>
  <c r="C328" i="6"/>
  <c r="D328" i="6"/>
  <c r="E328" i="6"/>
  <c r="B329" i="6"/>
  <c r="C329" i="6"/>
  <c r="D329" i="6"/>
  <c r="E329" i="6"/>
  <c r="B330" i="6"/>
  <c r="C330" i="6"/>
  <c r="D330" i="6"/>
  <c r="E330" i="6"/>
  <c r="B331" i="6"/>
  <c r="C331" i="6"/>
  <c r="D331" i="6"/>
  <c r="E331" i="6"/>
  <c r="B332" i="6"/>
  <c r="C332" i="6"/>
  <c r="D332" i="6"/>
  <c r="E332" i="6"/>
  <c r="B333" i="6"/>
  <c r="C333" i="6"/>
  <c r="D333" i="6"/>
  <c r="E333" i="6"/>
  <c r="B334" i="6"/>
  <c r="C334" i="6"/>
  <c r="D334" i="6"/>
  <c r="E334" i="6"/>
  <c r="B335" i="6"/>
  <c r="C335" i="6"/>
  <c r="D335" i="6"/>
  <c r="E335" i="6"/>
  <c r="B336" i="6"/>
  <c r="C336" i="6"/>
  <c r="D336" i="6"/>
  <c r="E336" i="6"/>
  <c r="B337" i="6"/>
  <c r="C337" i="6"/>
  <c r="D337" i="6"/>
  <c r="E337" i="6"/>
  <c r="B338" i="6"/>
  <c r="C338" i="6"/>
  <c r="D338" i="6"/>
  <c r="E338" i="6"/>
  <c r="B339" i="6"/>
  <c r="C339" i="6"/>
  <c r="D339" i="6"/>
  <c r="E339" i="6"/>
  <c r="B340" i="6"/>
  <c r="C340" i="6"/>
  <c r="D340" i="6"/>
  <c r="E340" i="6"/>
  <c r="B341" i="6"/>
  <c r="C341" i="6"/>
  <c r="D341" i="6"/>
  <c r="E341" i="6"/>
  <c r="B342" i="6"/>
  <c r="C342" i="6"/>
  <c r="D342" i="6"/>
  <c r="E342" i="6"/>
  <c r="B343" i="6"/>
  <c r="C343" i="6"/>
  <c r="D343" i="6"/>
  <c r="E343" i="6"/>
  <c r="B344" i="6"/>
  <c r="C344" i="6"/>
  <c r="D344" i="6"/>
  <c r="E344" i="6"/>
  <c r="B345" i="6"/>
  <c r="C345" i="6"/>
  <c r="D345" i="6"/>
  <c r="E345" i="6"/>
  <c r="B346" i="6"/>
  <c r="C346" i="6"/>
  <c r="D346" i="6"/>
  <c r="E346" i="6"/>
  <c r="B347" i="6"/>
  <c r="C347" i="6"/>
  <c r="D347" i="6"/>
  <c r="E347" i="6"/>
  <c r="B348" i="6"/>
  <c r="C348" i="6"/>
  <c r="D348" i="6"/>
  <c r="E348" i="6"/>
  <c r="B349" i="6"/>
  <c r="C349" i="6"/>
  <c r="D349" i="6"/>
  <c r="E349" i="6"/>
  <c r="B350" i="6"/>
  <c r="C350" i="6"/>
  <c r="D350" i="6"/>
  <c r="E350" i="6"/>
  <c r="B351" i="6"/>
  <c r="C351" i="6"/>
  <c r="D351" i="6"/>
  <c r="E351" i="6"/>
  <c r="B352" i="6"/>
  <c r="C352" i="6"/>
  <c r="D352" i="6"/>
  <c r="E352" i="6"/>
  <c r="B353" i="6"/>
  <c r="C353" i="6"/>
  <c r="D353" i="6"/>
  <c r="E353" i="6"/>
  <c r="B354" i="6"/>
  <c r="C354" i="6"/>
  <c r="D354" i="6"/>
  <c r="E354" i="6"/>
  <c r="B355" i="6"/>
  <c r="C355" i="6"/>
  <c r="D355" i="6"/>
  <c r="E355" i="6"/>
  <c r="B356" i="6"/>
  <c r="C356" i="6"/>
  <c r="D356" i="6"/>
  <c r="E356" i="6"/>
  <c r="B357" i="6"/>
  <c r="C357" i="6"/>
  <c r="D357" i="6"/>
  <c r="E357" i="6"/>
  <c r="B358" i="6"/>
  <c r="C358" i="6"/>
  <c r="D358" i="6"/>
  <c r="E358" i="6"/>
  <c r="B359" i="6"/>
  <c r="C359" i="6"/>
  <c r="D359" i="6"/>
  <c r="E359" i="6"/>
  <c r="B360" i="6"/>
  <c r="C360" i="6"/>
  <c r="D360" i="6"/>
  <c r="E360" i="6"/>
  <c r="B361" i="6"/>
  <c r="C361" i="6"/>
  <c r="D361" i="6"/>
  <c r="E361" i="6"/>
  <c r="B362" i="6"/>
  <c r="C362" i="6"/>
  <c r="D362" i="6"/>
  <c r="E362" i="6"/>
  <c r="B363" i="6"/>
  <c r="C363" i="6"/>
  <c r="D363" i="6"/>
  <c r="E363" i="6"/>
  <c r="B364" i="6"/>
  <c r="C364" i="6"/>
  <c r="D364" i="6"/>
  <c r="E364" i="6"/>
  <c r="B365" i="6"/>
  <c r="C365" i="6"/>
  <c r="D365" i="6"/>
  <c r="E365" i="6"/>
  <c r="B14" i="6"/>
  <c r="C14" i="6"/>
  <c r="D14" i="6"/>
  <c r="E14" i="6"/>
  <c r="B15" i="6"/>
  <c r="C15" i="6"/>
  <c r="D15" i="6"/>
  <c r="E15" i="6"/>
  <c r="B16" i="6"/>
  <c r="C16" i="6"/>
  <c r="D16" i="6"/>
  <c r="E16" i="6"/>
  <c r="B17" i="6"/>
  <c r="C17" i="6"/>
  <c r="D17" i="6"/>
  <c r="E17" i="6"/>
  <c r="B18" i="6"/>
  <c r="C18" i="6"/>
  <c r="D18" i="6"/>
  <c r="E18" i="6"/>
  <c r="B19" i="6"/>
  <c r="C19" i="6"/>
  <c r="D19" i="6"/>
  <c r="E19" i="6"/>
  <c r="B20" i="6"/>
  <c r="C20" i="6"/>
  <c r="D20" i="6"/>
  <c r="E20" i="6"/>
  <c r="B21" i="6"/>
  <c r="C21" i="6"/>
  <c r="D21" i="6"/>
  <c r="E21" i="6"/>
  <c r="B22" i="6"/>
  <c r="C22" i="6"/>
  <c r="D22" i="6"/>
  <c r="E22" i="6"/>
  <c r="B23" i="6"/>
  <c r="C23" i="6"/>
  <c r="D23" i="6"/>
  <c r="E23" i="6"/>
  <c r="B24" i="6"/>
  <c r="C24" i="6"/>
  <c r="D24" i="6"/>
  <c r="E24" i="6"/>
  <c r="B25" i="6"/>
  <c r="C25" i="6"/>
  <c r="D25" i="6"/>
  <c r="E25" i="6"/>
  <c r="B26" i="6"/>
  <c r="C26" i="6"/>
  <c r="D26" i="6"/>
  <c r="E26" i="6"/>
  <c r="B27" i="6"/>
  <c r="C27" i="6"/>
  <c r="D27" i="6"/>
  <c r="E27" i="6"/>
  <c r="B28" i="6"/>
  <c r="C28" i="6"/>
  <c r="D28" i="6"/>
  <c r="E28" i="6"/>
  <c r="B29" i="6"/>
  <c r="C29" i="6"/>
  <c r="D29" i="6"/>
  <c r="E29" i="6"/>
  <c r="B30" i="6"/>
  <c r="C30" i="6"/>
  <c r="D30" i="6"/>
  <c r="E30" i="6"/>
  <c r="B31" i="6"/>
  <c r="C31" i="6"/>
  <c r="D31" i="6"/>
  <c r="E31" i="6"/>
  <c r="B32" i="6"/>
  <c r="C32" i="6"/>
  <c r="D32" i="6"/>
  <c r="E32" i="6"/>
  <c r="B33" i="6"/>
  <c r="C33" i="6"/>
  <c r="D33" i="6"/>
  <c r="E33" i="6"/>
  <c r="B34" i="6"/>
  <c r="C34" i="6"/>
  <c r="D34" i="6"/>
  <c r="E34" i="6"/>
  <c r="B35" i="6"/>
  <c r="C35" i="6"/>
  <c r="D35" i="6"/>
  <c r="E35" i="6"/>
  <c r="B36" i="6"/>
  <c r="C36" i="6"/>
  <c r="D36" i="6"/>
  <c r="E36" i="6"/>
  <c r="Y2" i="6"/>
  <c r="Y3" i="6" s="1"/>
  <c r="AC2" i="6"/>
  <c r="AC3" i="6" s="1"/>
  <c r="AG2" i="6"/>
  <c r="AG3" i="6" s="1"/>
  <c r="AK2" i="6"/>
  <c r="AK3" i="6" s="1"/>
  <c r="AO2" i="6"/>
  <c r="AO3" i="6" s="1"/>
  <c r="BA2" i="6"/>
  <c r="BA3" i="6" s="1"/>
  <c r="BE2" i="6"/>
  <c r="BE3" i="6" s="1"/>
  <c r="BI2" i="6"/>
  <c r="BI3" i="6" s="1"/>
  <c r="BM2" i="6"/>
  <c r="BM3" i="6" s="1"/>
  <c r="BU2" i="6"/>
  <c r="BU3" i="6" s="1"/>
  <c r="BY2" i="6"/>
  <c r="BY3" i="6" s="1"/>
  <c r="CC2" i="6"/>
  <c r="CC3" i="6" s="1"/>
  <c r="CG2" i="6"/>
  <c r="CG3" i="6" s="1"/>
  <c r="CJ2" i="6"/>
  <c r="CJ3" i="6" s="1"/>
  <c r="CK2" i="6"/>
  <c r="CK3" i="6" s="1"/>
  <c r="CO2" i="6"/>
  <c r="CO3" i="6" s="1"/>
  <c r="CS2" i="6"/>
  <c r="CS3" i="6" s="1"/>
  <c r="DA2" i="6"/>
  <c r="DA3" i="6" s="1"/>
  <c r="B10" i="6"/>
  <c r="C10" i="6"/>
  <c r="D10" i="6"/>
  <c r="E10" i="6"/>
  <c r="B11" i="6"/>
  <c r="C11" i="6"/>
  <c r="D11" i="6"/>
  <c r="E11" i="6"/>
  <c r="B12" i="6"/>
  <c r="C12" i="6"/>
  <c r="D12" i="6"/>
  <c r="E12" i="6"/>
  <c r="B13" i="6"/>
  <c r="C13" i="6"/>
  <c r="D13" i="6"/>
  <c r="E13" i="6"/>
  <c r="D8" i="6"/>
  <c r="B8" i="6"/>
  <c r="F2" i="6" l="1"/>
  <c r="N2" i="6"/>
  <c r="N3" i="6" s="1"/>
  <c r="AD2" i="6"/>
  <c r="AD3" i="6" s="1"/>
  <c r="AL2" i="6"/>
  <c r="AL3" i="6" s="1"/>
  <c r="BB2" i="6"/>
  <c r="BB3" i="6" s="1"/>
  <c r="BR2" i="6"/>
  <c r="BR3" i="6" s="1"/>
  <c r="BZ2" i="6"/>
  <c r="BZ3" i="6" s="1"/>
  <c r="CP2" i="6"/>
  <c r="CP3" i="6" s="1"/>
  <c r="CX2" i="6"/>
  <c r="CX3" i="6" s="1"/>
  <c r="BK2" i="6"/>
  <c r="BK3" i="6" s="1"/>
  <c r="G2" i="6"/>
  <c r="G3" i="6" s="1"/>
  <c r="W2" i="6"/>
  <c r="W3" i="6" s="1"/>
  <c r="AE2" i="6"/>
  <c r="AE3" i="6" s="1"/>
  <c r="AM2" i="6"/>
  <c r="AM3" i="6" s="1"/>
  <c r="AU2" i="6"/>
  <c r="AU3" i="6" s="1"/>
  <c r="BC2" i="6"/>
  <c r="BC3" i="6" s="1"/>
  <c r="CI2" i="6"/>
  <c r="CI3" i="6" s="1"/>
  <c r="CQ2" i="6"/>
  <c r="CQ3" i="6" s="1"/>
  <c r="CY2" i="6"/>
  <c r="CY3" i="6" s="1"/>
  <c r="BS2" i="6"/>
  <c r="BS3" i="6" s="1"/>
  <c r="P2" i="6"/>
  <c r="P3" i="6" s="1"/>
  <c r="BD2" i="6"/>
  <c r="BD3" i="6" s="1"/>
  <c r="AS2" i="6"/>
  <c r="AS3" i="6" s="1"/>
  <c r="AR2" i="6"/>
  <c r="AR3" i="6" s="1"/>
  <c r="CH2" i="6"/>
  <c r="CH3" i="6" s="1"/>
  <c r="AV2" i="6"/>
  <c r="Q2" i="6"/>
  <c r="Q3" i="6" s="1"/>
  <c r="M2" i="6"/>
  <c r="M3" i="6" s="1"/>
  <c r="D39" i="1"/>
  <c r="D40" i="1"/>
  <c r="D44" i="1"/>
  <c r="D45" i="1"/>
  <c r="D46" i="1"/>
  <c r="D47" i="1"/>
  <c r="D48" i="1"/>
  <c r="D41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F3" i="6" l="1"/>
  <c r="CX4" i="6" s="1"/>
  <c r="B3" i="6"/>
  <c r="D3" i="6"/>
  <c r="C3" i="6"/>
  <c r="AV3" i="6"/>
  <c r="BA4" i="6"/>
  <c r="CK4" i="6"/>
  <c r="CS4" i="6"/>
  <c r="AE4" i="6"/>
  <c r="K4" i="6"/>
  <c r="DA4" i="6"/>
  <c r="AD4" i="6"/>
  <c r="BW4" i="6"/>
  <c r="BL4" i="6"/>
  <c r="AD5" i="6"/>
  <c r="AD6" i="6" s="1"/>
  <c r="CT5" i="6"/>
  <c r="CT6" i="6" s="1"/>
  <c r="BZ5" i="6"/>
  <c r="BZ6" i="6" s="1"/>
  <c r="J5" i="6"/>
  <c r="J6" i="6" s="1"/>
  <c r="AU5" i="6"/>
  <c r="AU6" i="6" s="1"/>
  <c r="BT5" i="6"/>
  <c r="BT6" i="6" s="1"/>
  <c r="CF5" i="6"/>
  <c r="CF6" i="6" s="1"/>
  <c r="AS5" i="6"/>
  <c r="AS6" i="6" s="1"/>
  <c r="CG5" i="6"/>
  <c r="CG6" i="6" s="1"/>
  <c r="BU5" i="6"/>
  <c r="BU6" i="6" s="1"/>
  <c r="BK5" i="6"/>
  <c r="BK6" i="6" s="1"/>
  <c r="CX5" i="6"/>
  <c r="CX6" i="6" s="1"/>
  <c r="AN5" i="6"/>
  <c r="AN6" i="6" s="1"/>
  <c r="BG5" i="6"/>
  <c r="BG6" i="6" s="1"/>
  <c r="Q5" i="6"/>
  <c r="Q6" i="6" s="1"/>
  <c r="CZ5" i="6"/>
  <c r="CZ6" i="6" s="1"/>
  <c r="BR5" i="6"/>
  <c r="BR6" i="6" s="1"/>
  <c r="E35" i="2"/>
  <c r="G35" i="2"/>
  <c r="E36" i="2"/>
  <c r="F36" i="2" s="1"/>
  <c r="G36" i="2"/>
  <c r="E37" i="2"/>
  <c r="F37" i="2" s="1"/>
  <c r="G37" i="2"/>
  <c r="E38" i="2"/>
  <c r="G38" i="2"/>
  <c r="E39" i="2"/>
  <c r="G39" i="2"/>
  <c r="E40" i="2"/>
  <c r="G40" i="2"/>
  <c r="E41" i="2"/>
  <c r="F41" i="2" s="1"/>
  <c r="G41" i="2"/>
  <c r="E42" i="2"/>
  <c r="F42" i="2" s="1"/>
  <c r="G42" i="2"/>
  <c r="E43" i="2"/>
  <c r="F43" i="2" s="1"/>
  <c r="G43" i="2"/>
  <c r="E44" i="2"/>
  <c r="F44" i="2" s="1"/>
  <c r="G44" i="2"/>
  <c r="E45" i="2"/>
  <c r="G45" i="2"/>
  <c r="E46" i="2"/>
  <c r="F46" i="2" s="1"/>
  <c r="G46" i="2"/>
  <c r="E47" i="2"/>
  <c r="F47" i="2" s="1"/>
  <c r="G47" i="2"/>
  <c r="E48" i="2"/>
  <c r="F48" i="2" s="1"/>
  <c r="G48" i="2"/>
  <c r="E49" i="2"/>
  <c r="F49" i="2" s="1"/>
  <c r="G49" i="2"/>
  <c r="E50" i="2"/>
  <c r="F50" i="2" s="1"/>
  <c r="G50" i="2"/>
  <c r="E51" i="2"/>
  <c r="F51" i="2"/>
  <c r="G51" i="2"/>
  <c r="E52" i="2"/>
  <c r="F52" i="2"/>
  <c r="G52" i="2"/>
  <c r="E53" i="2"/>
  <c r="F53" i="2" s="1"/>
  <c r="G53" i="2"/>
  <c r="E54" i="2"/>
  <c r="F54" i="2" s="1"/>
  <c r="G54" i="2"/>
  <c r="E55" i="2"/>
  <c r="F55" i="2" s="1"/>
  <c r="G55" i="2"/>
  <c r="E56" i="2"/>
  <c r="F56" i="2" s="1"/>
  <c r="G56" i="2"/>
  <c r="E57" i="2"/>
  <c r="F57" i="2" s="1"/>
  <c r="G57" i="2"/>
  <c r="E58" i="2"/>
  <c r="F58" i="2" s="1"/>
  <c r="G58" i="2"/>
  <c r="E59" i="2"/>
  <c r="F59" i="2"/>
  <c r="G59" i="2"/>
  <c r="E60" i="2"/>
  <c r="F60" i="2"/>
  <c r="G60" i="2"/>
  <c r="E61" i="2"/>
  <c r="F61" i="2" s="1"/>
  <c r="G61" i="2"/>
  <c r="E62" i="2"/>
  <c r="F62" i="2" s="1"/>
  <c r="G62" i="2"/>
  <c r="E63" i="2"/>
  <c r="F63" i="2" s="1"/>
  <c r="G63" i="2"/>
  <c r="E64" i="2"/>
  <c r="F64" i="2" s="1"/>
  <c r="G64" i="2"/>
  <c r="E65" i="2"/>
  <c r="F65" i="2" s="1"/>
  <c r="G65" i="2"/>
  <c r="E66" i="2"/>
  <c r="F66" i="2" s="1"/>
  <c r="G66" i="2"/>
  <c r="E67" i="2"/>
  <c r="F67" i="2"/>
  <c r="G67" i="2"/>
  <c r="E68" i="2"/>
  <c r="F68" i="2"/>
  <c r="G68" i="2"/>
  <c r="E69" i="2"/>
  <c r="F69" i="2" s="1"/>
  <c r="G69" i="2"/>
  <c r="E70" i="2"/>
  <c r="F70" i="2" s="1"/>
  <c r="G70" i="2"/>
  <c r="E71" i="2"/>
  <c r="F71" i="2" s="1"/>
  <c r="G71" i="2"/>
  <c r="E72" i="2"/>
  <c r="F72" i="2" s="1"/>
  <c r="G72" i="2"/>
  <c r="E73" i="2"/>
  <c r="F73" i="2" s="1"/>
  <c r="G73" i="2"/>
  <c r="E74" i="2"/>
  <c r="F74" i="2" s="1"/>
  <c r="G74" i="2"/>
  <c r="E75" i="2"/>
  <c r="F75" i="2"/>
  <c r="G75" i="2"/>
  <c r="E76" i="2"/>
  <c r="F76" i="2"/>
  <c r="G76" i="2"/>
  <c r="E77" i="2"/>
  <c r="F77" i="2" s="1"/>
  <c r="G77" i="2"/>
  <c r="E78" i="2"/>
  <c r="F78" i="2" s="1"/>
  <c r="G78" i="2"/>
  <c r="E79" i="2"/>
  <c r="F79" i="2" s="1"/>
  <c r="G79" i="2"/>
  <c r="E80" i="2"/>
  <c r="F80" i="2" s="1"/>
  <c r="G80" i="2"/>
  <c r="E81" i="2"/>
  <c r="F81" i="2" s="1"/>
  <c r="G81" i="2"/>
  <c r="E82" i="2"/>
  <c r="F82" i="2" s="1"/>
  <c r="G82" i="2"/>
  <c r="E83" i="2"/>
  <c r="F83" i="2"/>
  <c r="G83" i="2"/>
  <c r="E84" i="2"/>
  <c r="F84" i="2"/>
  <c r="G84" i="2"/>
  <c r="E85" i="2"/>
  <c r="F85" i="2" s="1"/>
  <c r="G85" i="2"/>
  <c r="E86" i="2"/>
  <c r="F86" i="2" s="1"/>
  <c r="G86" i="2"/>
  <c r="E87" i="2"/>
  <c r="F87" i="2" s="1"/>
  <c r="G87" i="2"/>
  <c r="E88" i="2"/>
  <c r="F88" i="2" s="1"/>
  <c r="G88" i="2"/>
  <c r="E89" i="2"/>
  <c r="F89" i="2" s="1"/>
  <c r="G89" i="2"/>
  <c r="E90" i="2"/>
  <c r="F90" i="2" s="1"/>
  <c r="G90" i="2"/>
  <c r="E91" i="2"/>
  <c r="F91" i="2"/>
  <c r="G91" i="2"/>
  <c r="E92" i="2"/>
  <c r="F92" i="2"/>
  <c r="G92" i="2"/>
  <c r="E93" i="2"/>
  <c r="F93" i="2" s="1"/>
  <c r="G93" i="2"/>
  <c r="E94" i="2"/>
  <c r="F94" i="2" s="1"/>
  <c r="G94" i="2"/>
  <c r="E95" i="2"/>
  <c r="F95" i="2"/>
  <c r="G95" i="2"/>
  <c r="E96" i="2"/>
  <c r="F96" i="2" s="1"/>
  <c r="G96" i="2"/>
  <c r="E97" i="2"/>
  <c r="F97" i="2" s="1"/>
  <c r="G97" i="2"/>
  <c r="E98" i="2"/>
  <c r="F98" i="2" s="1"/>
  <c r="G98" i="2"/>
  <c r="E99" i="2"/>
  <c r="F99" i="2"/>
  <c r="G99" i="2"/>
  <c r="E100" i="2"/>
  <c r="F100" i="2"/>
  <c r="G100" i="2"/>
  <c r="E101" i="2"/>
  <c r="F101" i="2" s="1"/>
  <c r="G101" i="2"/>
  <c r="E102" i="2"/>
  <c r="F102" i="2" s="1"/>
  <c r="G102" i="2"/>
  <c r="E103" i="2"/>
  <c r="F103" i="2" s="1"/>
  <c r="G103" i="2"/>
  <c r="E104" i="2"/>
  <c r="F104" i="2" s="1"/>
  <c r="G104" i="2"/>
  <c r="E105" i="2"/>
  <c r="F105" i="2" s="1"/>
  <c r="G105" i="2"/>
  <c r="E106" i="2"/>
  <c r="F106" i="2" s="1"/>
  <c r="G106" i="2"/>
  <c r="E107" i="2"/>
  <c r="F107" i="2"/>
  <c r="G107" i="2"/>
  <c r="E108" i="2"/>
  <c r="F108" i="2"/>
  <c r="G108" i="2"/>
  <c r="E109" i="2"/>
  <c r="F109" i="2" s="1"/>
  <c r="G109" i="2"/>
  <c r="E110" i="2"/>
  <c r="F110" i="2" s="1"/>
  <c r="G110" i="2"/>
  <c r="E111" i="2"/>
  <c r="F111" i="2"/>
  <c r="G111" i="2"/>
  <c r="E112" i="2"/>
  <c r="F112" i="2" s="1"/>
  <c r="G112" i="2"/>
  <c r="E113" i="2"/>
  <c r="F113" i="2" s="1"/>
  <c r="G113" i="2"/>
  <c r="E114" i="2"/>
  <c r="F114" i="2" s="1"/>
  <c r="G114" i="2"/>
  <c r="E115" i="2"/>
  <c r="F115" i="2"/>
  <c r="G115" i="2"/>
  <c r="E116" i="2"/>
  <c r="F116" i="2"/>
  <c r="G116" i="2"/>
  <c r="E117" i="2"/>
  <c r="F117" i="2" s="1"/>
  <c r="G117" i="2"/>
  <c r="E118" i="2"/>
  <c r="F118" i="2" s="1"/>
  <c r="G118" i="2"/>
  <c r="E119" i="2"/>
  <c r="F119" i="2" s="1"/>
  <c r="G119" i="2"/>
  <c r="E120" i="2"/>
  <c r="F120" i="2" s="1"/>
  <c r="G120" i="2"/>
  <c r="E121" i="2"/>
  <c r="F121" i="2" s="1"/>
  <c r="G121" i="2"/>
  <c r="E122" i="2"/>
  <c r="F122" i="2" s="1"/>
  <c r="G122" i="2"/>
  <c r="E123" i="2"/>
  <c r="F123" i="2"/>
  <c r="G123" i="2"/>
  <c r="E124" i="2"/>
  <c r="F124" i="2"/>
  <c r="G124" i="2"/>
  <c r="E125" i="2"/>
  <c r="F125" i="2" s="1"/>
  <c r="G125" i="2"/>
  <c r="E126" i="2"/>
  <c r="F126" i="2" s="1"/>
  <c r="G126" i="2"/>
  <c r="E127" i="2"/>
  <c r="F127" i="2"/>
  <c r="G127" i="2"/>
  <c r="E128" i="2"/>
  <c r="F128" i="2" s="1"/>
  <c r="G128" i="2"/>
  <c r="E129" i="2"/>
  <c r="F129" i="2" s="1"/>
  <c r="G129" i="2"/>
  <c r="E130" i="2"/>
  <c r="F130" i="2" s="1"/>
  <c r="G130" i="2"/>
  <c r="E131" i="2"/>
  <c r="F131" i="2"/>
  <c r="G131" i="2"/>
  <c r="E132" i="2"/>
  <c r="F132" i="2"/>
  <c r="G132" i="2"/>
  <c r="E133" i="2"/>
  <c r="F133" i="2" s="1"/>
  <c r="G133" i="2"/>
  <c r="E134" i="2"/>
  <c r="F134" i="2" s="1"/>
  <c r="G134" i="2"/>
  <c r="E135" i="2"/>
  <c r="F135" i="2" s="1"/>
  <c r="G135" i="2"/>
  <c r="E136" i="2"/>
  <c r="F136" i="2" s="1"/>
  <c r="G136" i="2"/>
  <c r="E137" i="2"/>
  <c r="F137" i="2" s="1"/>
  <c r="G137" i="2"/>
  <c r="E138" i="2"/>
  <c r="F138" i="2" s="1"/>
  <c r="G138" i="2"/>
  <c r="E139" i="2"/>
  <c r="F139" i="2"/>
  <c r="G139" i="2"/>
  <c r="E140" i="2"/>
  <c r="F140" i="2"/>
  <c r="G140" i="2"/>
  <c r="E141" i="2"/>
  <c r="F141" i="2" s="1"/>
  <c r="G141" i="2"/>
  <c r="E142" i="2"/>
  <c r="F142" i="2" s="1"/>
  <c r="G142" i="2"/>
  <c r="E143" i="2"/>
  <c r="F143" i="2"/>
  <c r="G143" i="2"/>
  <c r="E144" i="2"/>
  <c r="F144" i="2" s="1"/>
  <c r="G144" i="2"/>
  <c r="E145" i="2"/>
  <c r="F145" i="2" s="1"/>
  <c r="G145" i="2"/>
  <c r="E146" i="2"/>
  <c r="F146" i="2" s="1"/>
  <c r="G146" i="2"/>
  <c r="E147" i="2"/>
  <c r="F147" i="2"/>
  <c r="G147" i="2"/>
  <c r="E148" i="2"/>
  <c r="F148" i="2"/>
  <c r="G148" i="2"/>
  <c r="E149" i="2"/>
  <c r="F149" i="2" s="1"/>
  <c r="G149" i="2"/>
  <c r="E150" i="2"/>
  <c r="F150" i="2" s="1"/>
  <c r="G150" i="2"/>
  <c r="E151" i="2"/>
  <c r="F151" i="2" s="1"/>
  <c r="G151" i="2"/>
  <c r="E152" i="2"/>
  <c r="F152" i="2" s="1"/>
  <c r="G152" i="2"/>
  <c r="E153" i="2"/>
  <c r="F153" i="2" s="1"/>
  <c r="G153" i="2"/>
  <c r="E154" i="2"/>
  <c r="F154" i="2" s="1"/>
  <c r="G154" i="2"/>
  <c r="E155" i="2"/>
  <c r="F155" i="2"/>
  <c r="G155" i="2"/>
  <c r="E156" i="2"/>
  <c r="F156" i="2"/>
  <c r="G156" i="2"/>
  <c r="E157" i="2"/>
  <c r="F157" i="2" s="1"/>
  <c r="G157" i="2"/>
  <c r="E158" i="2"/>
  <c r="F158" i="2" s="1"/>
  <c r="G158" i="2"/>
  <c r="E159" i="2"/>
  <c r="F159" i="2"/>
  <c r="G159" i="2"/>
  <c r="E160" i="2"/>
  <c r="F160" i="2" s="1"/>
  <c r="G160" i="2"/>
  <c r="E161" i="2"/>
  <c r="F161" i="2" s="1"/>
  <c r="G161" i="2"/>
  <c r="E162" i="2"/>
  <c r="F162" i="2" s="1"/>
  <c r="G162" i="2"/>
  <c r="E163" i="2"/>
  <c r="F163" i="2"/>
  <c r="G163" i="2"/>
  <c r="E164" i="2"/>
  <c r="F164" i="2"/>
  <c r="G164" i="2"/>
  <c r="E165" i="2"/>
  <c r="F165" i="2" s="1"/>
  <c r="G165" i="2"/>
  <c r="E166" i="2"/>
  <c r="F166" i="2" s="1"/>
  <c r="G166" i="2"/>
  <c r="E167" i="2"/>
  <c r="F167" i="2" s="1"/>
  <c r="G167" i="2"/>
  <c r="E168" i="2"/>
  <c r="F168" i="2" s="1"/>
  <c r="G168" i="2"/>
  <c r="E169" i="2"/>
  <c r="F169" i="2" s="1"/>
  <c r="G169" i="2"/>
  <c r="E170" i="2"/>
  <c r="F170" i="2" s="1"/>
  <c r="G170" i="2"/>
  <c r="E171" i="2"/>
  <c r="F171" i="2"/>
  <c r="G171" i="2"/>
  <c r="E172" i="2"/>
  <c r="F172" i="2"/>
  <c r="G172" i="2"/>
  <c r="E173" i="2"/>
  <c r="F173" i="2" s="1"/>
  <c r="G173" i="2"/>
  <c r="E174" i="2"/>
  <c r="F174" i="2" s="1"/>
  <c r="G174" i="2"/>
  <c r="E175" i="2"/>
  <c r="F175" i="2"/>
  <c r="G175" i="2"/>
  <c r="E176" i="2"/>
  <c r="F176" i="2" s="1"/>
  <c r="G176" i="2"/>
  <c r="E177" i="2"/>
  <c r="F177" i="2" s="1"/>
  <c r="G177" i="2"/>
  <c r="E178" i="2"/>
  <c r="F178" i="2" s="1"/>
  <c r="G178" i="2"/>
  <c r="E179" i="2"/>
  <c r="F179" i="2"/>
  <c r="G179" i="2"/>
  <c r="E180" i="2"/>
  <c r="F180" i="2"/>
  <c r="G180" i="2"/>
  <c r="E181" i="2"/>
  <c r="F181" i="2" s="1"/>
  <c r="G181" i="2"/>
  <c r="E182" i="2"/>
  <c r="F182" i="2" s="1"/>
  <c r="G182" i="2"/>
  <c r="E183" i="2"/>
  <c r="F183" i="2" s="1"/>
  <c r="G183" i="2"/>
  <c r="E184" i="2"/>
  <c r="F184" i="2" s="1"/>
  <c r="G184" i="2"/>
  <c r="E185" i="2"/>
  <c r="F185" i="2" s="1"/>
  <c r="G185" i="2"/>
  <c r="E186" i="2"/>
  <c r="F186" i="2" s="1"/>
  <c r="G186" i="2"/>
  <c r="E187" i="2"/>
  <c r="F187" i="2"/>
  <c r="G187" i="2"/>
  <c r="E188" i="2"/>
  <c r="F188" i="2"/>
  <c r="G188" i="2"/>
  <c r="E189" i="2"/>
  <c r="F189" i="2" s="1"/>
  <c r="G189" i="2"/>
  <c r="E190" i="2"/>
  <c r="F190" i="2" s="1"/>
  <c r="G190" i="2"/>
  <c r="E191" i="2"/>
  <c r="F191" i="2"/>
  <c r="G191" i="2"/>
  <c r="E192" i="2"/>
  <c r="F192" i="2" s="1"/>
  <c r="G192" i="2"/>
  <c r="E193" i="2"/>
  <c r="F193" i="2" s="1"/>
  <c r="G193" i="2"/>
  <c r="E194" i="2"/>
  <c r="F194" i="2" s="1"/>
  <c r="G194" i="2"/>
  <c r="E195" i="2"/>
  <c r="F195" i="2"/>
  <c r="G195" i="2"/>
  <c r="E196" i="2"/>
  <c r="F196" i="2"/>
  <c r="G196" i="2"/>
  <c r="E197" i="2"/>
  <c r="F197" i="2" s="1"/>
  <c r="G197" i="2"/>
  <c r="E198" i="2"/>
  <c r="F198" i="2" s="1"/>
  <c r="G198" i="2"/>
  <c r="E199" i="2"/>
  <c r="F199" i="2" s="1"/>
  <c r="G199" i="2"/>
  <c r="E200" i="2"/>
  <c r="F200" i="2" s="1"/>
  <c r="G200" i="2"/>
  <c r="G34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" i="2"/>
  <c r="D42" i="1"/>
  <c r="D43" i="1"/>
  <c r="CA5" i="6" l="1"/>
  <c r="CA6" i="6" s="1"/>
  <c r="L5" i="6"/>
  <c r="L6" i="6" s="1"/>
  <c r="AR5" i="6"/>
  <c r="AR6" i="6" s="1"/>
  <c r="CY4" i="6"/>
  <c r="Y4" i="6"/>
  <c r="BZ4" i="6"/>
  <c r="CT4" i="6"/>
  <c r="V5" i="6"/>
  <c r="V6" i="6" s="1"/>
  <c r="CB5" i="6"/>
  <c r="CB6" i="6" s="1"/>
  <c r="CH5" i="6"/>
  <c r="CH6" i="6" s="1"/>
  <c r="AB4" i="6"/>
  <c r="CW5" i="6"/>
  <c r="CW6" i="6" s="1"/>
  <c r="CE5" i="6"/>
  <c r="CE6" i="6" s="1"/>
  <c r="AC5" i="6"/>
  <c r="AC6" i="6" s="1"/>
  <c r="AP5" i="6"/>
  <c r="AP6" i="6" s="1"/>
  <c r="BH5" i="6"/>
  <c r="BH6" i="6" s="1"/>
  <c r="AO4" i="6"/>
  <c r="AA4" i="6"/>
  <c r="CH4" i="6"/>
  <c r="CQ4" i="6"/>
  <c r="AH5" i="6"/>
  <c r="AH6" i="6" s="1"/>
  <c r="BJ5" i="6"/>
  <c r="BJ6" i="6" s="1"/>
  <c r="I5" i="6"/>
  <c r="I6" i="6" s="1"/>
  <c r="BC5" i="6"/>
  <c r="BC6" i="6" s="1"/>
  <c r="CP5" i="6"/>
  <c r="CP6" i="6" s="1"/>
  <c r="I4" i="6"/>
  <c r="BR4" i="6"/>
  <c r="CR5" i="6"/>
  <c r="CR6" i="6" s="1"/>
  <c r="CN5" i="6"/>
  <c r="CN6" i="6" s="1"/>
  <c r="CS5" i="6"/>
  <c r="CS6" i="6" s="1"/>
  <c r="BV5" i="6"/>
  <c r="BV6" i="6" s="1"/>
  <c r="CG4" i="6"/>
  <c r="AL4" i="6"/>
  <c r="AH4" i="6"/>
  <c r="U5" i="6"/>
  <c r="U6" i="6" s="1"/>
  <c r="AY5" i="6"/>
  <c r="AY6" i="6" s="1"/>
  <c r="AA5" i="6"/>
  <c r="AA6" i="6" s="1"/>
  <c r="K5" i="6"/>
  <c r="K6" i="6" s="1"/>
  <c r="BI5" i="6"/>
  <c r="BI6" i="6" s="1"/>
  <c r="Z5" i="6"/>
  <c r="Z6" i="6" s="1"/>
  <c r="BG4" i="6"/>
  <c r="M4" i="6"/>
  <c r="CN4" i="6"/>
  <c r="AP4" i="6"/>
  <c r="BB5" i="6"/>
  <c r="BB6" i="6" s="1"/>
  <c r="T5" i="6"/>
  <c r="T6" i="6" s="1"/>
  <c r="CM5" i="6"/>
  <c r="CM6" i="6" s="1"/>
  <c r="CC5" i="6"/>
  <c r="CC6" i="6" s="1"/>
  <c r="BO5" i="6"/>
  <c r="BO6" i="6" s="1"/>
  <c r="Y5" i="6"/>
  <c r="Y6" i="6" s="1"/>
  <c r="M5" i="6"/>
  <c r="M6" i="6" s="1"/>
  <c r="BY4" i="6"/>
  <c r="AT4" i="6"/>
  <c r="CM4" i="6"/>
  <c r="AZ5" i="6"/>
  <c r="AZ6" i="6" s="1"/>
  <c r="CQ5" i="6"/>
  <c r="CQ6" i="6" s="1"/>
  <c r="AI5" i="6"/>
  <c r="AI6" i="6" s="1"/>
  <c r="BF5" i="6"/>
  <c r="BF6" i="6" s="1"/>
  <c r="W5" i="6"/>
  <c r="W6" i="6" s="1"/>
  <c r="AT5" i="6"/>
  <c r="AT6" i="6" s="1"/>
  <c r="F5" i="6"/>
  <c r="F6" i="6" s="1"/>
  <c r="AK5" i="6"/>
  <c r="AK6" i="6" s="1"/>
  <c r="BD5" i="6"/>
  <c r="BD6" i="6" s="1"/>
  <c r="AF5" i="6"/>
  <c r="AF6" i="6" s="1"/>
  <c r="CK5" i="6"/>
  <c r="CK6" i="6" s="1"/>
  <c r="AO5" i="6"/>
  <c r="AO6" i="6" s="1"/>
  <c r="BH4" i="6"/>
  <c r="G4" i="6"/>
  <c r="BT4" i="6"/>
  <c r="BQ4" i="6"/>
  <c r="P4" i="6"/>
  <c r="BD4" i="6"/>
  <c r="J4" i="6"/>
  <c r="BP4" i="6"/>
  <c r="CL5" i="6"/>
  <c r="CL6" i="6" s="1"/>
  <c r="CU5" i="6"/>
  <c r="CU6" i="6" s="1"/>
  <c r="CJ5" i="6"/>
  <c r="CJ6" i="6" s="1"/>
  <c r="BS5" i="6"/>
  <c r="BS6" i="6" s="1"/>
  <c r="BW5" i="6"/>
  <c r="BW6" i="6" s="1"/>
  <c r="O5" i="6"/>
  <c r="O6" i="6" s="1"/>
  <c r="CV5" i="6"/>
  <c r="CV6" i="6" s="1"/>
  <c r="S5" i="6"/>
  <c r="S6" i="6" s="1"/>
  <c r="BN5" i="6"/>
  <c r="BN6" i="6" s="1"/>
  <c r="BQ5" i="6"/>
  <c r="BQ6" i="6" s="1"/>
  <c r="N5" i="6"/>
  <c r="N6" i="6" s="1"/>
  <c r="AM5" i="6"/>
  <c r="AM6" i="6" s="1"/>
  <c r="AG4" i="6"/>
  <c r="Q4" i="6"/>
  <c r="V4" i="6"/>
  <c r="BU4" i="6"/>
  <c r="AI4" i="6"/>
  <c r="BO4" i="6"/>
  <c r="CR4" i="6"/>
  <c r="AV4" i="6"/>
  <c r="DA5" i="6"/>
  <c r="DA6" i="6" s="1"/>
  <c r="BM5" i="6"/>
  <c r="BM6" i="6" s="1"/>
  <c r="BL5" i="6"/>
  <c r="BL6" i="6" s="1"/>
  <c r="G5" i="6"/>
  <c r="G6" i="6" s="1"/>
  <c r="AL5" i="6"/>
  <c r="AL6" i="6" s="1"/>
  <c r="X5" i="6"/>
  <c r="X6" i="6" s="1"/>
  <c r="BA5" i="6"/>
  <c r="BA6" i="6" s="1"/>
  <c r="AV5" i="6"/>
  <c r="AV6" i="6" s="1"/>
  <c r="CI5" i="6"/>
  <c r="CI6" i="6" s="1"/>
  <c r="AQ5" i="6"/>
  <c r="AQ6" i="6" s="1"/>
  <c r="BE5" i="6"/>
  <c r="BE6" i="6" s="1"/>
  <c r="AG5" i="6"/>
  <c r="AG6" i="6" s="1"/>
  <c r="AJ5" i="6"/>
  <c r="AJ6" i="6" s="1"/>
  <c r="T4" i="6"/>
  <c r="AZ4" i="6"/>
  <c r="CL4" i="6"/>
  <c r="CO4" i="6"/>
  <c r="AC4" i="6"/>
  <c r="BI4" i="6"/>
  <c r="BE4" i="6"/>
  <c r="BX5" i="6"/>
  <c r="BX6" i="6" s="1"/>
  <c r="R5" i="6"/>
  <c r="R6" i="6" s="1"/>
  <c r="AX5" i="6"/>
  <c r="AX6" i="6" s="1"/>
  <c r="P5" i="6"/>
  <c r="P6" i="6" s="1"/>
  <c r="AW5" i="6"/>
  <c r="AW6" i="6" s="1"/>
  <c r="AE5" i="6"/>
  <c r="AE6" i="6" s="1"/>
  <c r="CO5" i="6"/>
  <c r="CO6" i="6" s="1"/>
  <c r="CD5" i="6"/>
  <c r="CD6" i="6" s="1"/>
  <c r="CY5" i="6"/>
  <c r="CY6" i="6" s="1"/>
  <c r="H5" i="6"/>
  <c r="H6" i="6" s="1"/>
  <c r="BY5" i="6"/>
  <c r="BY6" i="6" s="1"/>
  <c r="BP5" i="6"/>
  <c r="BP6" i="6" s="1"/>
  <c r="AB5" i="6"/>
  <c r="AB6" i="6" s="1"/>
  <c r="AF4" i="6"/>
  <c r="CC4" i="6"/>
  <c r="W4" i="6"/>
  <c r="AJ4" i="6"/>
  <c r="CB4" i="6"/>
  <c r="CJ4" i="6"/>
  <c r="BV4" i="6"/>
  <c r="AX4" i="6"/>
  <c r="BS4" i="6"/>
  <c r="X4" i="6"/>
  <c r="CA4" i="6"/>
  <c r="AM4" i="6"/>
  <c r="AU4" i="6"/>
  <c r="CZ4" i="6"/>
  <c r="CE4" i="6"/>
  <c r="CD4" i="6"/>
  <c r="AS4" i="6"/>
  <c r="AN4" i="6"/>
  <c r="AK4" i="6"/>
  <c r="BB4" i="6"/>
  <c r="BX4" i="6"/>
  <c r="O4" i="6"/>
  <c r="U4" i="6"/>
  <c r="BN4" i="6"/>
  <c r="CP4" i="6"/>
  <c r="R4" i="6"/>
  <c r="AW4" i="6"/>
  <c r="Z4" i="6"/>
  <c r="CU4" i="6"/>
  <c r="BC4" i="6"/>
  <c r="S4" i="6"/>
  <c r="CW4" i="6"/>
  <c r="N4" i="6"/>
  <c r="CF4" i="6"/>
  <c r="BM4" i="6"/>
  <c r="AQ4" i="6"/>
  <c r="AR4" i="6"/>
  <c r="BF4" i="6"/>
  <c r="H4" i="6"/>
  <c r="BK4" i="6"/>
  <c r="F4" i="6"/>
  <c r="CV4" i="6"/>
  <c r="BJ4" i="6"/>
  <c r="L4" i="6"/>
  <c r="CI4" i="6"/>
  <c r="AY4" i="6"/>
  <c r="F45" i="2"/>
  <c r="F40" i="2"/>
  <c r="F39" i="2"/>
  <c r="F38" i="2"/>
  <c r="F35" i="2"/>
  <c r="E28" i="2"/>
  <c r="F28" i="2" s="1"/>
  <c r="E27" i="2"/>
  <c r="F27" i="2" s="1"/>
  <c r="E31" i="2"/>
  <c r="F31" i="2" s="1"/>
  <c r="E6" i="2" l="1"/>
  <c r="E7" i="2"/>
  <c r="E8" i="2"/>
  <c r="E9" i="2"/>
  <c r="E10" i="2"/>
  <c r="F10" i="2" s="1"/>
  <c r="E11" i="2"/>
  <c r="E12" i="2"/>
  <c r="E13" i="2"/>
  <c r="E14" i="2"/>
  <c r="E15" i="2"/>
  <c r="E16" i="2"/>
  <c r="E17" i="2"/>
  <c r="E18" i="2"/>
  <c r="F18" i="2" s="1"/>
  <c r="E19" i="2"/>
  <c r="E20" i="2"/>
  <c r="F20" i="2" s="1"/>
  <c r="E21" i="2"/>
  <c r="F21" i="2" s="1"/>
  <c r="E22" i="2"/>
  <c r="E23" i="2"/>
  <c r="E24" i="2"/>
  <c r="E25" i="2"/>
  <c r="E26" i="2"/>
  <c r="E30" i="2"/>
  <c r="E29" i="2"/>
  <c r="E32" i="2"/>
  <c r="E33" i="2"/>
  <c r="E34" i="2"/>
  <c r="E3" i="2"/>
  <c r="H31" i="1" l="1"/>
  <c r="I31" i="1" s="1"/>
  <c r="H69" i="1"/>
  <c r="I69" i="1" s="1"/>
  <c r="H70" i="1"/>
  <c r="I70" i="1" s="1"/>
  <c r="H36" i="1"/>
  <c r="I36" i="1" s="1"/>
  <c r="H79" i="1"/>
  <c r="I79" i="1" s="1"/>
  <c r="H5" i="1"/>
  <c r="I5" i="1" s="1"/>
  <c r="H41" i="1"/>
  <c r="I41" i="1" s="1"/>
  <c r="H73" i="1"/>
  <c r="I73" i="1" s="1"/>
  <c r="H82" i="1"/>
  <c r="I82" i="1" s="1"/>
  <c r="H50" i="1"/>
  <c r="I50" i="1" s="1"/>
  <c r="H83" i="1"/>
  <c r="I83" i="1" s="1"/>
  <c r="H40" i="1"/>
  <c r="I40" i="1" s="1"/>
  <c r="H3" i="1"/>
  <c r="H35" i="1"/>
  <c r="I35" i="1" s="1"/>
  <c r="H77" i="1"/>
  <c r="I77" i="1" s="1"/>
  <c r="H94" i="1"/>
  <c r="I94" i="1" s="1"/>
  <c r="H62" i="1"/>
  <c r="I62" i="1" s="1"/>
  <c r="H87" i="1"/>
  <c r="I87" i="1" s="1"/>
  <c r="H9" i="1"/>
  <c r="I9" i="1" s="1"/>
  <c r="H56" i="1"/>
  <c r="I56" i="1" s="1"/>
  <c r="H81" i="1"/>
  <c r="I81" i="1" s="1"/>
  <c r="H6" i="1"/>
  <c r="I6" i="1" s="1"/>
  <c r="H66" i="1"/>
  <c r="I66" i="1" s="1"/>
  <c r="H91" i="1"/>
  <c r="I91" i="1" s="1"/>
  <c r="H7" i="1"/>
  <c r="I7" i="1" s="1"/>
  <c r="H45" i="1"/>
  <c r="I45" i="1" s="1"/>
  <c r="H85" i="1"/>
  <c r="I85" i="1" s="1"/>
  <c r="H4" i="1"/>
  <c r="I4" i="1" s="1"/>
  <c r="H78" i="1"/>
  <c r="I78" i="1" s="1"/>
  <c r="H95" i="1"/>
  <c r="I95" i="1" s="1"/>
  <c r="H13" i="1"/>
  <c r="I13" i="1" s="1"/>
  <c r="H72" i="1"/>
  <c r="I72" i="1" s="1"/>
  <c r="H89" i="1"/>
  <c r="I89" i="1" s="1"/>
  <c r="H10" i="1"/>
  <c r="I10" i="1" s="1"/>
  <c r="H90" i="1"/>
  <c r="I90" i="1" s="1"/>
  <c r="H99" i="1"/>
  <c r="I99" i="1" s="1"/>
  <c r="H43" i="1"/>
  <c r="I43" i="1" s="1"/>
  <c r="H22" i="1"/>
  <c r="I22" i="1" s="1"/>
  <c r="H59" i="1"/>
  <c r="I59" i="1" s="1"/>
  <c r="H11" i="1"/>
  <c r="I11" i="1" s="1"/>
  <c r="H76" i="1"/>
  <c r="I76" i="1" s="1"/>
  <c r="H93" i="1"/>
  <c r="I93" i="1" s="1"/>
  <c r="H8" i="1"/>
  <c r="I8" i="1" s="1"/>
  <c r="H86" i="1"/>
  <c r="I86" i="1" s="1"/>
  <c r="H37" i="1"/>
  <c r="I37" i="1" s="1"/>
  <c r="H17" i="1"/>
  <c r="I17" i="1" s="1"/>
  <c r="H88" i="1"/>
  <c r="I88" i="1" s="1"/>
  <c r="H97" i="1"/>
  <c r="I97" i="1" s="1"/>
  <c r="H14" i="1"/>
  <c r="I14" i="1" s="1"/>
  <c r="H44" i="1"/>
  <c r="I44" i="1" s="1"/>
  <c r="H52" i="1"/>
  <c r="I52" i="1" s="1"/>
  <c r="H42" i="1"/>
  <c r="I42" i="1" s="1"/>
  <c r="H15" i="1"/>
  <c r="I15" i="1" s="1"/>
  <c r="H39" i="1"/>
  <c r="I39" i="1" s="1"/>
  <c r="H24" i="1"/>
  <c r="I24" i="1" s="1"/>
  <c r="H12" i="1"/>
  <c r="I12" i="1" s="1"/>
  <c r="H48" i="1"/>
  <c r="I48" i="1" s="1"/>
  <c r="H64" i="1"/>
  <c r="I64" i="1" s="1"/>
  <c r="H21" i="1"/>
  <c r="I21" i="1" s="1"/>
  <c r="H98" i="1"/>
  <c r="I98" i="1" s="1"/>
  <c r="H30" i="1"/>
  <c r="I30" i="1" s="1"/>
  <c r="H18" i="1"/>
  <c r="I18" i="1" s="1"/>
  <c r="H51" i="1"/>
  <c r="I51" i="1" s="1"/>
  <c r="H60" i="1"/>
  <c r="I60" i="1" s="1"/>
  <c r="H34" i="1"/>
  <c r="I34" i="1" s="1"/>
  <c r="H68" i="1"/>
  <c r="I68" i="1" s="1"/>
  <c r="H19" i="1"/>
  <c r="I19" i="1" s="1"/>
  <c r="H46" i="1"/>
  <c r="I46" i="1" s="1"/>
  <c r="H32" i="1"/>
  <c r="I32" i="1" s="1"/>
  <c r="H16" i="1"/>
  <c r="I16" i="1" s="1"/>
  <c r="H55" i="1"/>
  <c r="I55" i="1" s="1"/>
  <c r="H80" i="1"/>
  <c r="I80" i="1" s="1"/>
  <c r="H25" i="1"/>
  <c r="I25" i="1" s="1"/>
  <c r="H49" i="1"/>
  <c r="I49" i="1" s="1"/>
  <c r="H23" i="1"/>
  <c r="I23" i="1" s="1"/>
  <c r="H53" i="1"/>
  <c r="I53" i="1" s="1"/>
  <c r="H47" i="1"/>
  <c r="I47" i="1" s="1"/>
  <c r="H20" i="1"/>
  <c r="I20" i="1" s="1"/>
  <c r="H63" i="1"/>
  <c r="I63" i="1" s="1"/>
  <c r="H96" i="1"/>
  <c r="I96" i="1" s="1"/>
  <c r="H29" i="1"/>
  <c r="I29" i="1" s="1"/>
  <c r="H57" i="1"/>
  <c r="I57" i="1" s="1"/>
  <c r="H58" i="1"/>
  <c r="I58" i="1" s="1"/>
  <c r="H26" i="1"/>
  <c r="I26" i="1" s="1"/>
  <c r="H67" i="1"/>
  <c r="I67" i="1" s="1"/>
  <c r="H92" i="1"/>
  <c r="I92" i="1" s="1"/>
  <c r="H27" i="1"/>
  <c r="I27" i="1" s="1"/>
  <c r="H61" i="1"/>
  <c r="I61" i="1" s="1"/>
  <c r="H54" i="1"/>
  <c r="I54" i="1" s="1"/>
  <c r="H28" i="1"/>
  <c r="I28" i="1" s="1"/>
  <c r="H71" i="1"/>
  <c r="I71" i="1" s="1"/>
  <c r="H84" i="1"/>
  <c r="I84" i="1" s="1"/>
  <c r="H33" i="1"/>
  <c r="I33" i="1" s="1"/>
  <c r="H65" i="1"/>
  <c r="I65" i="1" s="1"/>
  <c r="H74" i="1"/>
  <c r="I74" i="1" s="1"/>
  <c r="H38" i="1"/>
  <c r="I38" i="1" s="1"/>
  <c r="H75" i="1"/>
  <c r="I75" i="1" s="1"/>
  <c r="F30" i="2"/>
  <c r="F25" i="2"/>
  <c r="F19" i="2"/>
  <c r="F17" i="2"/>
  <c r="F24" i="2"/>
  <c r="F23" i="2"/>
  <c r="F7" i="2"/>
  <c r="F15" i="2"/>
  <c r="F33" i="2"/>
  <c r="F22" i="2"/>
  <c r="F14" i="2"/>
  <c r="F6" i="2"/>
  <c r="F26" i="2"/>
  <c r="F9" i="2"/>
  <c r="F16" i="2"/>
  <c r="F32" i="2"/>
  <c r="F13" i="2"/>
  <c r="F11" i="2"/>
  <c r="F3" i="2"/>
  <c r="F8" i="2"/>
  <c r="F29" i="2"/>
  <c r="F12" i="2"/>
  <c r="F34" i="2"/>
  <c r="I3" i="1" l="1"/>
  <c r="E3" i="4"/>
  <c r="F3" i="4" s="1"/>
</calcChain>
</file>

<file path=xl/sharedStrings.xml><?xml version="1.0" encoding="utf-8"?>
<sst xmlns="http://schemas.openxmlformats.org/spreadsheetml/2006/main" count="152" uniqueCount="140">
  <si>
    <t>Proj.#</t>
    <phoneticPr fontId="2"/>
  </si>
  <si>
    <t>Best</t>
    <phoneticPr fontId="2"/>
  </si>
  <si>
    <t>Worst</t>
    <phoneticPr fontId="2"/>
  </si>
  <si>
    <t>p</t>
    <phoneticPr fontId="2"/>
  </si>
  <si>
    <t>#1</t>
    <phoneticPr fontId="2"/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</si>
  <si>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</si>
  <si>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</si>
  <si>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</si>
  <si>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</si>
  <si>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</si>
  <si>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</si>
  <si>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</si>
  <si>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</si>
  <si>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</si>
  <si>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</si>
  <si>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</si>
  <si>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</si>
  <si>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</si>
  <si>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</si>
  <si>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</si>
  <si>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</si>
  <si>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</si>
  <si>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</si>
  <si>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</si>
  <si>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</si>
  <si>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</si>
  <si>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</si>
  <si>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</si>
  <si>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</si>
  <si>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</si>
  <si>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</si>
  <si>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</si>
  <si>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</si>
  <si>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</si>
  <si>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</si>
  <si>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</si>
  <si>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</si>
  <si>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</si>
  <si>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</si>
  <si>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</si>
  <si>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</si>
  <si>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</si>
  <si>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</si>
  <si>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</si>
  <si>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#41</t>
  </si>
  <si>
    <t>#42</t>
  </si>
  <si>
    <t>#43</t>
  </si>
  <si>
    <t>#44</t>
  </si>
  <si>
    <t>#45</t>
  </si>
  <si>
    <t>#46</t>
  </si>
  <si>
    <t>#47</t>
  </si>
  <si>
    <t>#48</t>
  </si>
  <si>
    <t>#49</t>
  </si>
  <si>
    <t>#50</t>
  </si>
  <si>
    <t>#51</t>
  </si>
  <si>
    <t>#52</t>
  </si>
  <si>
    <t>#53</t>
  </si>
  <si>
    <t>#54</t>
  </si>
  <si>
    <t>#55</t>
  </si>
  <si>
    <t>#56</t>
  </si>
  <si>
    <t>#57</t>
  </si>
  <si>
    <t>#58</t>
  </si>
  <si>
    <t>#59</t>
  </si>
  <si>
    <t>#60</t>
  </si>
  <si>
    <t>#61</t>
  </si>
  <si>
    <t>#62</t>
  </si>
  <si>
    <t>#63</t>
  </si>
  <si>
    <t>#64</t>
  </si>
  <si>
    <t>#65</t>
  </si>
  <si>
    <t>#66</t>
  </si>
  <si>
    <t>#67</t>
  </si>
  <si>
    <t>#68</t>
  </si>
  <si>
    <t>#69</t>
  </si>
  <si>
    <t>#70</t>
  </si>
  <si>
    <t>#71</t>
  </si>
  <si>
    <t>#72</t>
  </si>
  <si>
    <t>#73</t>
  </si>
  <si>
    <t>#74</t>
  </si>
  <si>
    <t>#75</t>
  </si>
  <si>
    <t>#76</t>
  </si>
  <si>
    <t>#77</t>
  </si>
  <si>
    <t>#78</t>
  </si>
  <si>
    <t>#79</t>
  </si>
  <si>
    <t>#80</t>
  </si>
  <si>
    <t>#81</t>
  </si>
  <si>
    <t>#82</t>
  </si>
  <si>
    <t>#83</t>
  </si>
  <si>
    <t>#84</t>
  </si>
  <si>
    <t>#85</t>
  </si>
  <si>
    <t>#86</t>
  </si>
  <si>
    <t>#87</t>
  </si>
  <si>
    <t>#88</t>
  </si>
  <si>
    <t>#89</t>
  </si>
  <si>
    <t>#90</t>
  </si>
  <si>
    <t>#91</t>
  </si>
  <si>
    <t>#92</t>
  </si>
  <si>
    <t>#93</t>
  </si>
  <si>
    <t>#94</t>
  </si>
  <si>
    <t>#95</t>
  </si>
  <si>
    <t>#96</t>
  </si>
  <si>
    <t>#97</t>
  </si>
  <si>
    <t>#98</t>
  </si>
  <si>
    <t>#99</t>
  </si>
  <si>
    <t>#100</t>
  </si>
  <si>
    <t>Mid</t>
    <phoneticPr fontId="2"/>
  </si>
  <si>
    <t>CalcDate</t>
    <phoneticPr fontId="2"/>
  </si>
  <si>
    <t>Task#</t>
    <phoneticPr fontId="2"/>
  </si>
  <si>
    <t>Task Name</t>
    <phoneticPr fontId="2"/>
  </si>
  <si>
    <t>Priority</t>
    <phoneticPr fontId="2"/>
  </si>
  <si>
    <t>Est h.</t>
    <phoneticPr fontId="2"/>
  </si>
  <si>
    <t>Days Range</t>
    <phoneticPr fontId="2"/>
  </si>
  <si>
    <t>Stat.</t>
    <phoneticPr fontId="2"/>
  </si>
  <si>
    <t>Project Name</t>
    <phoneticPr fontId="2"/>
  </si>
  <si>
    <t>Rate</t>
    <phoneticPr fontId="2"/>
  </si>
  <si>
    <t>Est. h</t>
    <phoneticPr fontId="2"/>
  </si>
  <si>
    <t>Act. h</t>
    <phoneticPr fontId="2"/>
  </si>
  <si>
    <t>Stat</t>
    <phoneticPr fontId="2"/>
  </si>
  <si>
    <t>V</t>
    <phoneticPr fontId="2"/>
  </si>
  <si>
    <t>Date</t>
    <phoneticPr fontId="2"/>
  </si>
  <si>
    <t>Start</t>
    <phoneticPr fontId="2"/>
  </si>
  <si>
    <t>End</t>
    <phoneticPr fontId="2"/>
  </si>
  <si>
    <t>Time
Spent(h)</t>
    <phoneticPr fontId="2"/>
  </si>
  <si>
    <t>Time
Spent(m)</t>
    <phoneticPr fontId="2"/>
  </si>
  <si>
    <t>Title</t>
    <phoneticPr fontId="2"/>
  </si>
  <si>
    <t>Total Hours to Spent</t>
    <phoneticPr fontId="2"/>
  </si>
  <si>
    <t>Total
Days</t>
    <phoneticPr fontId="2"/>
  </si>
  <si>
    <t>Probability</t>
    <phoneticPr fontId="2"/>
  </si>
  <si>
    <t>Business
Hours(h)</t>
    <phoneticPr fontId="2"/>
  </si>
  <si>
    <t>Total
Hours</t>
    <phoneticPr fontId="2"/>
  </si>
  <si>
    <t>Rank</t>
    <phoneticPr fontId="2"/>
  </si>
  <si>
    <t>Ctrl+; to Current Date
Ctrl+: to Current Time</t>
    <phoneticPr fontId="2"/>
  </si>
  <si>
    <r>
      <t>Stat：(none)/</t>
    </r>
    <r>
      <rPr>
        <sz val="9"/>
        <color rgb="FFFF0000"/>
        <rFont val="UD デジタル 教科書体 NP-R"/>
        <family val="1"/>
        <charset val="128"/>
      </rPr>
      <t>Done</t>
    </r>
    <r>
      <rPr>
        <sz val="9"/>
        <color theme="1"/>
        <rFont val="UD デジタル 教科書体 NP-R"/>
        <family val="1"/>
        <charset val="128"/>
      </rPr>
      <t xml:space="preserve">
Priority：1(Urgent)/2(High)/3(Mid)/4(Low)</t>
    </r>
    <phoneticPr fontId="2"/>
  </si>
  <si>
    <r>
      <t>Stat:(none)/Working/</t>
    </r>
    <r>
      <rPr>
        <sz val="9"/>
        <color rgb="FFFF0000"/>
        <rFont val="UD デジタル 教科書体 NP-R"/>
        <family val="1"/>
        <charset val="128"/>
      </rPr>
      <t>Done</t>
    </r>
    <r>
      <rPr>
        <sz val="9"/>
        <rFont val="UD デジタル 教科書体 NP-R"/>
        <family val="1"/>
        <charset val="128"/>
      </rPr>
      <t xml:space="preserve">
</t>
    </r>
    <r>
      <rPr>
        <sz val="9"/>
        <color theme="1"/>
        <rFont val="UD デジタル 教科書体 NP-R"/>
        <family val="1"/>
        <charset val="128"/>
      </rPr>
      <t>Priority：High/Mid/Low/(none)</t>
    </r>
    <phoneticPr fontId="2"/>
  </si>
  <si>
    <t>Sample Task</t>
    <phoneticPr fontId="2"/>
  </si>
  <si>
    <t>Sample Project</t>
    <phoneticPr fontId="2"/>
  </si>
  <si>
    <t>Mid</t>
    <phoneticPr fontId="2"/>
  </si>
  <si>
    <t>Another Sample Task</t>
    <phoneticPr fontId="2"/>
  </si>
  <si>
    <t>Done</t>
    <phoneticPr fontId="2"/>
  </si>
  <si>
    <t>YetAnother Sample Task</t>
    <phoneticPr fontId="2"/>
  </si>
  <si>
    <t>To show the Confidence Distro Curve, Click "Simulate" Button :)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</si>
</sst>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_);[Red]\(0.00\)"/>
    <numFmt numFmtId="178" formatCode="0.0%"/>
  </numFmts>
  <fonts count="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UD デジタル 教科書体 NP-R"/>
      <family val="1"/>
      <charset val="128"/>
    </font>
    <font>
      <sz val="9"/>
      <color rgb="FFFF0000"/>
      <name val="UD デジタル 教科書体 NP-R"/>
      <family val="1"/>
      <charset val="128"/>
    </font>
    <font>
      <sz val="9"/>
      <name val="UD デジタル 教科書体 NP-R"/>
      <family val="1"/>
      <charset val="128"/>
    </font>
    <font>
      <sz val="8"/>
      <color theme="1"/>
      <name val="UD デジタル 教科書体 NP-R"/>
      <family val="1"/>
      <charset val="128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 wrapText="1"/>
    </xf>
    <xf numFmtId="14" fontId="3" fillId="0" borderId="0" xfId="0" applyNumberFormat="1" applyFont="1">
      <alignment vertical="center"/>
    </xf>
    <xf numFmtId="20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3" fillId="0" borderId="0" xfId="0" applyNumberFormat="1" applyFont="1">
      <alignment vertical="center"/>
    </xf>
    <xf numFmtId="0" fontId="3" fillId="0" borderId="0" xfId="0" applyFont="1" applyFill="1">
      <alignment vertical="center"/>
    </xf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Fill="1">
      <alignment vertical="center"/>
    </xf>
    <xf numFmtId="177" fontId="3" fillId="0" borderId="0" xfId="0" applyNumberFormat="1" applyFont="1" applyAlignment="1">
      <alignment vertical="center" wrapText="1"/>
    </xf>
    <xf numFmtId="0" fontId="3" fillId="0" borderId="0" xfId="0" applyNumberFormat="1" applyFont="1" applyAlignment="1">
      <alignment vertical="center" wrapText="1"/>
    </xf>
    <xf numFmtId="178" fontId="3" fillId="0" borderId="0" xfId="1" applyNumberFormat="1" applyFont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2" borderId="1" xfId="0" applyFont="1" applyFill="1" applyBorder="1">
      <alignment vertical="center"/>
    </xf>
    <xf numFmtId="14" fontId="3" fillId="0" borderId="0" xfId="0" applyNumberFormat="1" applyFont="1" applyAlignment="1">
      <alignment vertical="center" wrapText="1"/>
    </xf>
    <xf numFmtId="14" fontId="3" fillId="0" borderId="0" xfId="0" applyNumberFormat="1" applyFont="1" applyAlignment="1">
      <alignment vertical="center"/>
    </xf>
    <xf numFmtId="0" fontId="3" fillId="0" borderId="0" xfId="0" applyFont="1" applyFill="1" applyAlignment="1">
      <alignment vertical="center" wrapText="1"/>
    </xf>
    <xf numFmtId="0" fontId="3" fillId="3" borderId="0" xfId="0" applyFont="1" applyFill="1" applyAlignment="1">
      <alignment vertical="center" wrapText="1"/>
    </xf>
    <xf numFmtId="0" fontId="3" fillId="3" borderId="0" xfId="0" applyFont="1" applyFill="1">
      <alignment vertical="center"/>
    </xf>
    <xf numFmtId="2" fontId="3" fillId="3" borderId="0" xfId="0" applyNumberFormat="1" applyFont="1" applyFill="1">
      <alignment vertical="center"/>
    </xf>
    <xf numFmtId="0" fontId="3" fillId="3" borderId="0" xfId="0" applyNumberFormat="1" applyFont="1" applyFill="1">
      <alignment vertical="center"/>
    </xf>
    <xf numFmtId="176" fontId="3" fillId="3" borderId="0" xfId="0" applyNumberFormat="1" applyFont="1" applyFill="1" applyAlignment="1">
      <alignment vertical="center" wrapText="1"/>
    </xf>
    <xf numFmtId="176" fontId="3" fillId="3" borderId="0" xfId="0" applyNumberFormat="1" applyFont="1" applyFill="1">
      <alignment vertical="center"/>
    </xf>
    <xf numFmtId="10" fontId="3" fillId="3" borderId="0" xfId="1" applyNumberFormat="1" applyFont="1" applyFill="1">
      <alignment vertical="center"/>
    </xf>
    <xf numFmtId="0" fontId="6" fillId="0" borderId="0" xfId="0" applyFont="1" applyAlignment="1">
      <alignment horizontal="center" vertical="center"/>
    </xf>
    <xf numFmtId="177" fontId="3" fillId="3" borderId="0" xfId="0" applyNumberFormat="1" applyFont="1" applyFill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Tasks!$H$2</c:f>
              <c:strCache>
                <c:ptCount val="1"/>
                <c:pt idx="0">
                  <c:v>Act. 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2700" cap="rnd">
                <a:solidFill>
                  <a:schemeClr val="accent1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Tasks!$G$3:$G$38</c:f>
              <c:numCache>
                <c:formatCode>General</c:formatCode>
                <c:ptCount val="36"/>
                <c:pt idx="0">
                  <c:v>0.2</c:v>
                </c:pt>
                <c:pt idx="1">
                  <c:v>0.25</c:v>
                </c:pt>
                <c:pt idx="2">
                  <c:v>0.5</c:v>
                </c:pt>
              </c:numCache>
            </c:numRef>
          </c:xVal>
          <c:yVal>
            <c:numRef>
              <c:f>Tasks!$H$3:$H$38</c:f>
              <c:numCache>
                <c:formatCode>0.00</c:formatCode>
                <c:ptCount val="36"/>
                <c:pt idx="0">
                  <c:v>0.25</c:v>
                </c:pt>
                <c:pt idx="1">
                  <c:v>0.17</c:v>
                </c:pt>
                <c:pt idx="2">
                  <c:v>0.09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3E0-4F43-8791-62234EF3C55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axId val="607825192"/>
        <c:axId val="607824536"/>
      </c:scatterChart>
      <c:valAx>
        <c:axId val="607825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Estimated</a:t>
                </a:r>
                <a:r>
                  <a:rPr lang="en-US" altLang="ja-JP" baseline="0"/>
                  <a:t> 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24536"/>
        <c:crosses val="autoZero"/>
        <c:crossBetween val="midCat"/>
      </c:valAx>
      <c:valAx>
        <c:axId val="607824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Actual</a:t>
                </a:r>
                <a:r>
                  <a:rPr lang="en-US" altLang="ja-JP" baseline="0"/>
                  <a:t> Hours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25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Confidence</a:t>
            </a:r>
            <a:r>
              <a:rPr lang="en-US" altLang="ja-JP" baseline="0"/>
              <a:t> Distro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Sim!$E$4</c:f>
              <c:strCache>
                <c:ptCount val="1"/>
                <c:pt idx="0">
                  <c:v>Probability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Sim!$F$3:$DA$3</c:f>
              <c:numCache>
                <c:formatCode>0.00_);[Red]\(0.00\)</c:formatCode>
                <c:ptCount val="100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  <c:pt idx="12">
                  <c:v>0.09</c:v>
                </c:pt>
                <c:pt idx="13">
                  <c:v>0.09</c:v>
                </c:pt>
                <c:pt idx="14">
                  <c:v>0.09</c:v>
                </c:pt>
                <c:pt idx="15">
                  <c:v>0.09</c:v>
                </c:pt>
                <c:pt idx="16">
                  <c:v>0.09</c:v>
                </c:pt>
                <c:pt idx="17">
                  <c:v>0.09</c:v>
                </c:pt>
                <c:pt idx="18">
                  <c:v>0.09</c:v>
                </c:pt>
                <c:pt idx="19">
                  <c:v>0.09</c:v>
                </c:pt>
                <c:pt idx="20">
                  <c:v>0.09</c:v>
                </c:pt>
                <c:pt idx="21">
                  <c:v>0.09</c:v>
                </c:pt>
                <c:pt idx="22">
                  <c:v>0.09</c:v>
                </c:pt>
                <c:pt idx="23">
                  <c:v>0.09</c:v>
                </c:pt>
                <c:pt idx="24">
                  <c:v>0.09</c:v>
                </c:pt>
                <c:pt idx="25">
                  <c:v>0.09</c:v>
                </c:pt>
                <c:pt idx="26">
                  <c:v>0.09</c:v>
                </c:pt>
                <c:pt idx="27">
                  <c:v>0.09</c:v>
                </c:pt>
                <c:pt idx="28">
                  <c:v>0.09</c:v>
                </c:pt>
                <c:pt idx="29">
                  <c:v>0.09</c:v>
                </c:pt>
                <c:pt idx="30">
                  <c:v>0.09</c:v>
                </c:pt>
                <c:pt idx="31">
                  <c:v>0.09</c:v>
                </c:pt>
                <c:pt idx="32">
                  <c:v>0.09</c:v>
                </c:pt>
                <c:pt idx="33">
                  <c:v>0.09</c:v>
                </c:pt>
                <c:pt idx="34">
                  <c:v>0.09</c:v>
                </c:pt>
                <c:pt idx="35">
                  <c:v>0.09</c:v>
                </c:pt>
                <c:pt idx="36">
                  <c:v>0.09</c:v>
                </c:pt>
                <c:pt idx="37">
                  <c:v>0.09</c:v>
                </c:pt>
                <c:pt idx="38">
                  <c:v>0.09</c:v>
                </c:pt>
                <c:pt idx="39">
                  <c:v>0.09</c:v>
                </c:pt>
                <c:pt idx="40">
                  <c:v>0.09</c:v>
                </c:pt>
                <c:pt idx="41">
                  <c:v>0.09</c:v>
                </c:pt>
                <c:pt idx="42">
                  <c:v>0.09</c:v>
                </c:pt>
                <c:pt idx="43">
                  <c:v>0.09</c:v>
                </c:pt>
                <c:pt idx="44">
                  <c:v>0.09</c:v>
                </c:pt>
                <c:pt idx="45">
                  <c:v>0.09</c:v>
                </c:pt>
                <c:pt idx="46">
                  <c:v>0.09</c:v>
                </c:pt>
                <c:pt idx="47">
                  <c:v>0.09</c:v>
                </c:pt>
                <c:pt idx="48">
                  <c:v>0.09</c:v>
                </c:pt>
                <c:pt idx="49">
                  <c:v>0.09</c:v>
                </c:pt>
                <c:pt idx="50">
                  <c:v>0.09</c:v>
                </c:pt>
                <c:pt idx="51">
                  <c:v>0.09</c:v>
                </c:pt>
                <c:pt idx="52">
                  <c:v>0.09</c:v>
                </c:pt>
                <c:pt idx="53">
                  <c:v>0.09</c:v>
                </c:pt>
                <c:pt idx="54">
                  <c:v>0.09</c:v>
                </c:pt>
                <c:pt idx="55">
                  <c:v>0.09</c:v>
                </c:pt>
                <c:pt idx="56">
                  <c:v>0.09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0.09</c:v>
                </c:pt>
                <c:pt idx="61">
                  <c:v>0.09</c:v>
                </c:pt>
                <c:pt idx="62">
                  <c:v>0.09</c:v>
                </c:pt>
                <c:pt idx="63">
                  <c:v>0.09</c:v>
                </c:pt>
                <c:pt idx="64">
                  <c:v>0.09</c:v>
                </c:pt>
                <c:pt idx="65">
                  <c:v>0.09</c:v>
                </c:pt>
                <c:pt idx="66">
                  <c:v>0.09</c:v>
                </c:pt>
                <c:pt idx="67">
                  <c:v>0.09</c:v>
                </c:pt>
                <c:pt idx="68">
                  <c:v>0.09</c:v>
                </c:pt>
                <c:pt idx="69">
                  <c:v>0.09</c:v>
                </c:pt>
                <c:pt idx="70">
                  <c:v>0.09</c:v>
                </c:pt>
                <c:pt idx="71">
                  <c:v>0.09</c:v>
                </c:pt>
                <c:pt idx="72">
                  <c:v>0.09</c:v>
                </c:pt>
                <c:pt idx="73">
                  <c:v>0.09</c:v>
                </c:pt>
                <c:pt idx="74">
                  <c:v>0.09</c:v>
                </c:pt>
                <c:pt idx="75">
                  <c:v>0.09</c:v>
                </c:pt>
                <c:pt idx="76">
                  <c:v>0.09</c:v>
                </c:pt>
                <c:pt idx="77">
                  <c:v>0.09</c:v>
                </c:pt>
                <c:pt idx="78">
                  <c:v>0.09</c:v>
                </c:pt>
                <c:pt idx="79">
                  <c:v>0.09</c:v>
                </c:pt>
                <c:pt idx="80">
                  <c:v>0.09</c:v>
                </c:pt>
                <c:pt idx="81">
                  <c:v>0.09</c:v>
                </c:pt>
                <c:pt idx="82">
                  <c:v>0.09</c:v>
                </c:pt>
                <c:pt idx="83">
                  <c:v>0.09</c:v>
                </c:pt>
                <c:pt idx="84">
                  <c:v>0.09</c:v>
                </c:pt>
                <c:pt idx="85">
                  <c:v>0.09</c:v>
                </c:pt>
                <c:pt idx="86">
                  <c:v>0.09</c:v>
                </c:pt>
                <c:pt idx="87">
                  <c:v>0.09</c:v>
                </c:pt>
                <c:pt idx="88">
                  <c:v>0.09</c:v>
                </c:pt>
                <c:pt idx="89">
                  <c:v>0.09</c:v>
                </c:pt>
                <c:pt idx="90">
                  <c:v>0.09</c:v>
                </c:pt>
                <c:pt idx="91">
                  <c:v>0.09</c:v>
                </c:pt>
                <c:pt idx="92">
                  <c:v>0.09</c:v>
                </c:pt>
                <c:pt idx="93">
                  <c:v>0.09</c:v>
                </c:pt>
                <c:pt idx="94">
                  <c:v>0.09</c:v>
                </c:pt>
                <c:pt idx="95">
                  <c:v>0.09</c:v>
                </c:pt>
                <c:pt idx="96">
                  <c:v>0.09</c:v>
                </c:pt>
                <c:pt idx="97">
                  <c:v>0.09</c:v>
                </c:pt>
                <c:pt idx="98">
                  <c:v>0.09</c:v>
                </c:pt>
                <c:pt idx="99">
                  <c:v>0.09</c:v>
                </c:pt>
              </c:numCache>
            </c:numRef>
          </c:xVal>
          <c:yVal>
            <c:numRef>
              <c:f>Sim!$F$4:$DA$4</c:f>
              <c:numCache>
                <c:formatCode>0.0%</c:formatCode>
                <c:ptCount val="100"/>
                <c:pt idx="0">
                  <c:v>0.84012881275386331</c:v>
                </c:pt>
                <c:pt idx="1">
                  <c:v>0.84012881275386331</c:v>
                </c:pt>
                <c:pt idx="2">
                  <c:v>0.84012881275386331</c:v>
                </c:pt>
                <c:pt idx="3">
                  <c:v>0.84012881275386331</c:v>
                </c:pt>
                <c:pt idx="4">
                  <c:v>0.84012881275386331</c:v>
                </c:pt>
                <c:pt idx="5">
                  <c:v>0.84012881275386331</c:v>
                </c:pt>
                <c:pt idx="6">
                  <c:v>0.84012881275386331</c:v>
                </c:pt>
                <c:pt idx="7">
                  <c:v>0.84012881275386331</c:v>
                </c:pt>
                <c:pt idx="8">
                  <c:v>0.84012881275386331</c:v>
                </c:pt>
                <c:pt idx="9">
                  <c:v>0.84012881275386331</c:v>
                </c:pt>
                <c:pt idx="10">
                  <c:v>0.84012881275386331</c:v>
                </c:pt>
                <c:pt idx="11">
                  <c:v>0.84012881275386331</c:v>
                </c:pt>
                <c:pt idx="12">
                  <c:v>0.84012881275386331</c:v>
                </c:pt>
                <c:pt idx="13">
                  <c:v>0.84012881275386331</c:v>
                </c:pt>
                <c:pt idx="14">
                  <c:v>0.84012881275386331</c:v>
                </c:pt>
                <c:pt idx="15">
                  <c:v>0.84012881275386331</c:v>
                </c:pt>
                <c:pt idx="16">
                  <c:v>0.84012881275386331</c:v>
                </c:pt>
                <c:pt idx="17">
                  <c:v>0.84012881275386331</c:v>
                </c:pt>
                <c:pt idx="18">
                  <c:v>0.84012881275386331</c:v>
                </c:pt>
                <c:pt idx="19">
                  <c:v>0.84012881275386331</c:v>
                </c:pt>
                <c:pt idx="20">
                  <c:v>0.84012881275386331</c:v>
                </c:pt>
                <c:pt idx="21">
                  <c:v>0.84012881275386331</c:v>
                </c:pt>
                <c:pt idx="22">
                  <c:v>0.84012881275386331</c:v>
                </c:pt>
                <c:pt idx="23">
                  <c:v>0.84012881275386331</c:v>
                </c:pt>
                <c:pt idx="24">
                  <c:v>0.84012881275386331</c:v>
                </c:pt>
                <c:pt idx="25">
                  <c:v>0.84012881275386331</c:v>
                </c:pt>
                <c:pt idx="26">
                  <c:v>0.84012881275386331</c:v>
                </c:pt>
                <c:pt idx="27">
                  <c:v>0.84012881275386331</c:v>
                </c:pt>
                <c:pt idx="28">
                  <c:v>0.84012881275386331</c:v>
                </c:pt>
                <c:pt idx="29">
                  <c:v>0.84012881275386331</c:v>
                </c:pt>
                <c:pt idx="30">
                  <c:v>0.84012881275386331</c:v>
                </c:pt>
                <c:pt idx="31">
                  <c:v>0.84012881275386331</c:v>
                </c:pt>
                <c:pt idx="32">
                  <c:v>0.84012881275386331</c:v>
                </c:pt>
                <c:pt idx="33">
                  <c:v>0.84012881275386331</c:v>
                </c:pt>
                <c:pt idx="34">
                  <c:v>0.84012881275386331</c:v>
                </c:pt>
                <c:pt idx="35">
                  <c:v>0.84012881275386331</c:v>
                </c:pt>
                <c:pt idx="36">
                  <c:v>0.84012881275386331</c:v>
                </c:pt>
                <c:pt idx="37">
                  <c:v>0.84012881275386331</c:v>
                </c:pt>
                <c:pt idx="38">
                  <c:v>0.84012881275386331</c:v>
                </c:pt>
                <c:pt idx="39">
                  <c:v>0.84012881275386331</c:v>
                </c:pt>
                <c:pt idx="40">
                  <c:v>0.84012881275386331</c:v>
                </c:pt>
                <c:pt idx="41">
                  <c:v>0.84012881275386331</c:v>
                </c:pt>
                <c:pt idx="42">
                  <c:v>0.84012881275386331</c:v>
                </c:pt>
                <c:pt idx="43">
                  <c:v>0.84012881275386331</c:v>
                </c:pt>
                <c:pt idx="44">
                  <c:v>0.84012881275386331</c:v>
                </c:pt>
                <c:pt idx="45">
                  <c:v>0.84012881275386331</c:v>
                </c:pt>
                <c:pt idx="46">
                  <c:v>0.84012881275386331</c:v>
                </c:pt>
                <c:pt idx="47">
                  <c:v>0.84012881275386331</c:v>
                </c:pt>
                <c:pt idx="48">
                  <c:v>0.84012881275386331</c:v>
                </c:pt>
                <c:pt idx="49">
                  <c:v>0.84012881275386331</c:v>
                </c:pt>
                <c:pt idx="50">
                  <c:v>0.84012881275386331</c:v>
                </c:pt>
                <c:pt idx="51">
                  <c:v>0.84012881275386331</c:v>
                </c:pt>
                <c:pt idx="52">
                  <c:v>0.84012881275386331</c:v>
                </c:pt>
                <c:pt idx="53">
                  <c:v>0.84012881275386331</c:v>
                </c:pt>
                <c:pt idx="54">
                  <c:v>0.84012881275386331</c:v>
                </c:pt>
                <c:pt idx="55">
                  <c:v>0.84012881275386331</c:v>
                </c:pt>
                <c:pt idx="56">
                  <c:v>0.84012881275386331</c:v>
                </c:pt>
                <c:pt idx="57">
                  <c:v>0.84012881275386331</c:v>
                </c:pt>
                <c:pt idx="58">
                  <c:v>0.84012881275386331</c:v>
                </c:pt>
                <c:pt idx="59">
                  <c:v>0.84012881275386331</c:v>
                </c:pt>
                <c:pt idx="60">
                  <c:v>0.84012881275386331</c:v>
                </c:pt>
                <c:pt idx="61">
                  <c:v>0.84012881275386331</c:v>
                </c:pt>
                <c:pt idx="62">
                  <c:v>0.84012881275386331</c:v>
                </c:pt>
                <c:pt idx="63">
                  <c:v>0.84012881275386331</c:v>
                </c:pt>
                <c:pt idx="64">
                  <c:v>0.84012881275386331</c:v>
                </c:pt>
                <c:pt idx="65">
                  <c:v>0.84012881275386331</c:v>
                </c:pt>
                <c:pt idx="66">
                  <c:v>0.84012881275386331</c:v>
                </c:pt>
                <c:pt idx="67">
                  <c:v>0.84012881275386331</c:v>
                </c:pt>
                <c:pt idx="68">
                  <c:v>0.84012881275386331</c:v>
                </c:pt>
                <c:pt idx="69">
                  <c:v>0.84012881275386331</c:v>
                </c:pt>
                <c:pt idx="70">
                  <c:v>0.84012881275386331</c:v>
                </c:pt>
                <c:pt idx="71">
                  <c:v>0.84012881275386331</c:v>
                </c:pt>
                <c:pt idx="72">
                  <c:v>0.84012881275386331</c:v>
                </c:pt>
                <c:pt idx="73">
                  <c:v>0.84012881275386331</c:v>
                </c:pt>
                <c:pt idx="74">
                  <c:v>0.84012881275386331</c:v>
                </c:pt>
                <c:pt idx="75">
                  <c:v>0.84012881275386331</c:v>
                </c:pt>
                <c:pt idx="76">
                  <c:v>0.84012881275386331</c:v>
                </c:pt>
                <c:pt idx="77">
                  <c:v>0.84012881275386331</c:v>
                </c:pt>
                <c:pt idx="78">
                  <c:v>0.84012881275386331</c:v>
                </c:pt>
                <c:pt idx="79">
                  <c:v>0.84012881275386331</c:v>
                </c:pt>
                <c:pt idx="80">
                  <c:v>0.84012881275386331</c:v>
                </c:pt>
                <c:pt idx="81">
                  <c:v>0.84012881275386331</c:v>
                </c:pt>
                <c:pt idx="82">
                  <c:v>0.84012881275386331</c:v>
                </c:pt>
                <c:pt idx="83">
                  <c:v>0.84012881275386331</c:v>
                </c:pt>
                <c:pt idx="84">
                  <c:v>0.84012881275386331</c:v>
                </c:pt>
                <c:pt idx="85">
                  <c:v>0.84012881275386331</c:v>
                </c:pt>
                <c:pt idx="86">
                  <c:v>0.84012881275386331</c:v>
                </c:pt>
                <c:pt idx="87">
                  <c:v>0.84012881275386331</c:v>
                </c:pt>
                <c:pt idx="88">
                  <c:v>0.84012881275386331</c:v>
                </c:pt>
                <c:pt idx="89">
                  <c:v>0.84012881275386331</c:v>
                </c:pt>
                <c:pt idx="90">
                  <c:v>0.84012881275386331</c:v>
                </c:pt>
                <c:pt idx="91">
                  <c:v>0.84012881275386331</c:v>
                </c:pt>
                <c:pt idx="92">
                  <c:v>0.84012881275386331</c:v>
                </c:pt>
                <c:pt idx="93">
                  <c:v>0.84012881275386331</c:v>
                </c:pt>
                <c:pt idx="94">
                  <c:v>0.84012881275386331</c:v>
                </c:pt>
                <c:pt idx="95">
                  <c:v>0.84012881275386331</c:v>
                </c:pt>
                <c:pt idx="96">
                  <c:v>0.84012881275386331</c:v>
                </c:pt>
                <c:pt idx="97">
                  <c:v>0.84012881275386331</c:v>
                </c:pt>
                <c:pt idx="98">
                  <c:v>0.84012881275386331</c:v>
                </c:pt>
                <c:pt idx="99">
                  <c:v>0.84012881275386331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7-4B20-8FDC-965C624DD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420664"/>
        <c:axId val="547422632"/>
      </c:scatterChart>
      <c:valAx>
        <c:axId val="547420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Business Days to Ship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422632"/>
        <c:crosses val="autoZero"/>
        <c:crossBetween val="midCat"/>
      </c:valAx>
      <c:valAx>
        <c:axId val="54742263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420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7</xdr:col>
      <xdr:colOff>19050</xdr:colOff>
      <xdr:row>20</xdr:row>
      <xdr:rowOff>9524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242DE091-2B06-4B0D-91C4-91C0FC191E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9526</xdr:colOff>
          <xdr:row>3</xdr:row>
          <xdr:rowOff>9525</xdr:rowOff>
        </xdr:from>
        <xdr:to>
          <xdr:col>3</xdr:col>
          <xdr:colOff>1</xdr:colOff>
          <xdr:row>3</xdr:row>
          <xdr:rowOff>304800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6B414E75-2CFA-4D4D-9943-540B85E94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Simulate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9525</xdr:colOff>
      <xdr:row>22</xdr:row>
      <xdr:rowOff>142874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4FD56891-5BA7-45C8-867F-C2DE23AC5F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momose/HiQZen/ExcelEBSPro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Sheet"/>
      <sheetName val="Tasks"/>
      <sheetName val="Projects"/>
      <sheetName val="est vs act"/>
      <sheetName val="Sim"/>
      <sheetName val="ConfDist&amp;Log"/>
      <sheetName val="ExcelEBSProd"/>
    </sheetNames>
    <definedNames>
      <definedName name="SimulateFutur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4F7F6-E08F-447E-8A4A-77AACA6D5159}">
  <sheetPr codeName="Sheet1"/>
  <dimension ref="A1:I200"/>
  <sheetViews>
    <sheetView workbookViewId="0">
      <pane ySplit="2" topLeftCell="A3" activePane="bottomLeft" state="frozen"/>
      <selection pane="bottomLeft" activeCell="C28" sqref="C28"/>
    </sheetView>
  </sheetViews>
  <sheetFormatPr defaultRowHeight="12" x14ac:dyDescent="0.4"/>
  <cols>
    <col min="1" max="1" width="8.25" style="1" bestFit="1" customWidth="1"/>
    <col min="2" max="2" width="10" style="3" bestFit="1" customWidth="1"/>
    <col min="3" max="3" width="7.25" style="1" bestFit="1" customWidth="1"/>
    <col min="4" max="4" width="6.25" style="1" bestFit="1" customWidth="1"/>
    <col min="5" max="5" width="9.75" style="21" bestFit="1" customWidth="1"/>
    <col min="6" max="6" width="10.25" style="21" bestFit="1" customWidth="1"/>
    <col min="7" max="7" width="30.25" style="20" bestFit="1" customWidth="1"/>
    <col min="8" max="8" width="5.125" style="1" customWidth="1"/>
    <col min="9" max="9" width="20.375" style="1" customWidth="1"/>
    <col min="10" max="16384" width="9" style="1"/>
  </cols>
  <sheetData>
    <row r="1" spans="1:9" ht="24" x14ac:dyDescent="0.4">
      <c r="E1" s="1"/>
      <c r="F1" s="1"/>
      <c r="G1" s="17" t="s">
        <v>130</v>
      </c>
      <c r="H1" s="18"/>
      <c r="I1" s="18"/>
    </row>
    <row r="2" spans="1:9" ht="24" x14ac:dyDescent="0.4">
      <c r="A2" s="1" t="s">
        <v>106</v>
      </c>
      <c r="B2" s="3" t="s">
        <v>118</v>
      </c>
      <c r="C2" s="1" t="s">
        <v>119</v>
      </c>
      <c r="D2" s="1" t="s">
        <v>120</v>
      </c>
      <c r="E2" s="20" t="s">
        <v>121</v>
      </c>
      <c r="F2" s="20" t="s">
        <v>122</v>
      </c>
      <c r="G2" s="20" t="s">
        <v>123</v>
      </c>
    </row>
    <row r="3" spans="1:9" x14ac:dyDescent="0.4">
      <c r="A3" s="1">
        <v>1</v>
      </c>
      <c r="B3" s="3">
        <v>44097</v>
      </c>
      <c r="C3" s="4">
        <v>0.375</v>
      </c>
      <c r="D3" s="4">
        <v>0.38541666666666669</v>
      </c>
      <c r="E3" s="22">
        <f>IF(D3&lt;&gt;"",(D3-C3)*24,"")</f>
        <v>0.25000000000000044</v>
      </c>
      <c r="F3" s="23">
        <f>IF(E3&lt;&gt;"",E3*60,"")</f>
        <v>15.000000000000027</v>
      </c>
      <c r="G3" s="20" t="str">
        <f>IF(A3&lt;&gt;"",VLOOKUP(A3,Tasks!B:E,4,FALSE),"")</f>
        <v>Sample Task</v>
      </c>
    </row>
    <row r="4" spans="1:9" x14ac:dyDescent="0.4">
      <c r="A4" s="1">
        <v>2</v>
      </c>
      <c r="B4" s="3">
        <v>44097</v>
      </c>
      <c r="C4" s="4">
        <v>0.54166666666666663</v>
      </c>
      <c r="D4" s="4">
        <v>0.54861111111111105</v>
      </c>
      <c r="E4" s="22">
        <f>IF(D4&lt;&gt;"",(D4-C4)*24,"")</f>
        <v>0.16666666666666607</v>
      </c>
      <c r="F4" s="23">
        <f>IF(E4&lt;&gt;"",E4*60,"")</f>
        <v>9.9999999999999645</v>
      </c>
      <c r="G4" s="20" t="str">
        <f>IF(A4&lt;&gt;"",VLOOKUP(A4,Tasks!B:E,4,FALSE),"")</f>
        <v>Another Sample Task</v>
      </c>
    </row>
    <row r="5" spans="1:9" ht="24" x14ac:dyDescent="0.4">
      <c r="A5" s="1">
        <v>3</v>
      </c>
      <c r="B5" s="3">
        <v>44097</v>
      </c>
      <c r="C5" s="4">
        <v>0.55208333333333337</v>
      </c>
      <c r="D5" s="4">
        <v>0.55555555555555558</v>
      </c>
      <c r="E5" s="22">
        <f>IF(D5&lt;&gt;"",(D5-C5)*24,"")</f>
        <v>8.3333333333333037E-2</v>
      </c>
      <c r="F5" s="23">
        <f>IF(E5&lt;&gt;"",E5*60,"")</f>
        <v>4.9999999999999822</v>
      </c>
      <c r="G5" s="20" t="str">
        <f>IF(A5&lt;&gt;"",VLOOKUP(A5,Tasks!B:E,4,FALSE),"")</f>
        <v>YetAnother Sample Task</v>
      </c>
    </row>
    <row r="6" spans="1:9" ht="24" x14ac:dyDescent="0.4">
      <c r="C6" s="4"/>
      <c r="D6" s="4"/>
      <c r="E6" s="22" t="str">
        <f t="shared" ref="E6:E34" si="0">IF(D6&lt;&gt;"",(D6-C6)*24,"")</f>
        <v/>
      </c>
      <c r="F6" s="23" t="str">
        <f t="shared" ref="F6:F34" si="1">IF(E6&lt;&gt;"",E6*60,"")</f>
        <v/>
      </c>
      <c r="G6" s="20" t="str">
        <f>IF(A6&lt;&gt;"",VLOOKUP(A6,Tasks!B:E,4,FALSE),"")</f>
        <v/>
      </c>
    </row>
    <row r="7" spans="1:9" x14ac:dyDescent="0.4">
      <c r="C7" s="4"/>
      <c r="D7" s="4"/>
      <c r="E7" s="22" t="str">
        <f t="shared" si="0"/>
        <v/>
      </c>
      <c r="F7" s="23" t="str">
        <f t="shared" si="1"/>
        <v/>
      </c>
      <c r="G7" s="20" t="str">
        <f>IF(A7&lt;&gt;"",VLOOKUP(A7,Tasks!B:E,4,FALSE),"")</f>
        <v/>
      </c>
    </row>
    <row r="8" spans="1:9" x14ac:dyDescent="0.4">
      <c r="C8" s="4"/>
      <c r="D8" s="4"/>
      <c r="E8" s="22" t="str">
        <f t="shared" si="0"/>
        <v/>
      </c>
      <c r="F8" s="23" t="str">
        <f t="shared" si="1"/>
        <v/>
      </c>
      <c r="G8" s="20" t="str">
        <f>IF(A8&lt;&gt;"",VLOOKUP(A8,Tasks!B:E,4,FALSE),"")</f>
        <v/>
      </c>
    </row>
    <row r="9" spans="1:9" x14ac:dyDescent="0.4">
      <c r="C9" s="4"/>
      <c r="D9" s="4"/>
      <c r="E9" s="22" t="str">
        <f t="shared" si="0"/>
        <v/>
      </c>
      <c r="F9" s="23" t="str">
        <f t="shared" si="1"/>
        <v/>
      </c>
      <c r="G9" s="20" t="str">
        <f>IF(A9&lt;&gt;"",VLOOKUP(A9,Tasks!B:E,4,FALSE),"")</f>
        <v/>
      </c>
    </row>
    <row r="10" spans="1:9" x14ac:dyDescent="0.4">
      <c r="C10" s="4"/>
      <c r="D10" s="4"/>
      <c r="E10" s="22" t="str">
        <f t="shared" si="0"/>
        <v/>
      </c>
      <c r="F10" s="23" t="str">
        <f t="shared" si="1"/>
        <v/>
      </c>
      <c r="G10" s="20" t="str">
        <f>IF(A10&lt;&gt;"",VLOOKUP(A10,Tasks!B:E,4,FALSE),"")</f>
        <v/>
      </c>
    </row>
    <row r="11" spans="1:9" x14ac:dyDescent="0.4">
      <c r="C11" s="4"/>
      <c r="D11" s="4"/>
      <c r="E11" s="22" t="str">
        <f t="shared" si="0"/>
        <v/>
      </c>
      <c r="F11" s="23" t="str">
        <f t="shared" si="1"/>
        <v/>
      </c>
      <c r="G11" s="20" t="str">
        <f>IF(A11&lt;&gt;"",VLOOKUP(A11,Tasks!B:E,4,FALSE),"")</f>
        <v/>
      </c>
    </row>
    <row r="12" spans="1:9" ht="24" x14ac:dyDescent="0.4">
      <c r="C12" s="4"/>
      <c r="D12" s="4"/>
      <c r="E12" s="22" t="str">
        <f t="shared" si="0"/>
        <v/>
      </c>
      <c r="F12" s="23" t="str">
        <f t="shared" si="1"/>
        <v/>
      </c>
      <c r="G12" s="20" t="str">
        <f>IF(A12&lt;&gt;"",VLOOKUP(A12,Tasks!B:E,4,FALSE),"")</f>
        <v/>
      </c>
    </row>
    <row r="13" spans="1:9" x14ac:dyDescent="0.4">
      <c r="C13" s="4"/>
      <c r="D13" s="4"/>
      <c r="E13" s="22" t="str">
        <f t="shared" si="0"/>
        <v/>
      </c>
      <c r="F13" s="23" t="str">
        <f t="shared" si="1"/>
        <v/>
      </c>
      <c r="G13" s="20" t="str">
        <f>IF(A13&lt;&gt;"",VLOOKUP(A13,Tasks!B:E,4,FALSE),"")</f>
        <v/>
      </c>
    </row>
    <row r="14" spans="1:9" ht="48" x14ac:dyDescent="0.4">
      <c r="C14" s="4"/>
      <c r="D14" s="4"/>
      <c r="E14" s="22" t="str">
        <f t="shared" si="0"/>
        <v/>
      </c>
      <c r="F14" s="23" t="str">
        <f t="shared" si="1"/>
        <v/>
      </c>
      <c r="G14" s="20" t="str">
        <f>IF(A14&lt;&gt;"",VLOOKUP(A14,Tasks!B:E,4,FALSE),"")</f>
        <v/>
      </c>
    </row>
    <row r="15" spans="1:9" ht="36" x14ac:dyDescent="0.4">
      <c r="C15" s="4"/>
      <c r="D15" s="4"/>
      <c r="E15" s="22" t="str">
        <f t="shared" si="0"/>
        <v/>
      </c>
      <c r="F15" s="23" t="str">
        <f t="shared" si="1"/>
        <v/>
      </c>
      <c r="G15" s="20" t="str">
        <f>IF(A15&lt;&gt;"",VLOOKUP(A15,Tasks!B:E,4,FALSE),"")</f>
        <v/>
      </c>
    </row>
    <row r="16" spans="1:9" x14ac:dyDescent="0.4">
      <c r="C16" s="4"/>
      <c r="D16" s="4"/>
      <c r="E16" s="22" t="str">
        <f t="shared" si="0"/>
        <v/>
      </c>
      <c r="F16" s="23" t="str">
        <f t="shared" si="1"/>
        <v/>
      </c>
      <c r="G16" s="20" t="str">
        <f>IF(A16&lt;&gt;"",VLOOKUP(A16,Tasks!B:E,4,FALSE),"")</f>
        <v/>
      </c>
    </row>
    <row r="17" spans="3:7" x14ac:dyDescent="0.4">
      <c r="C17" s="4"/>
      <c r="D17" s="4"/>
      <c r="E17" s="22" t="str">
        <f t="shared" si="0"/>
        <v/>
      </c>
      <c r="F17" s="23" t="str">
        <f t="shared" si="1"/>
        <v/>
      </c>
      <c r="G17" s="20" t="str">
        <f>IF(A17&lt;&gt;"",VLOOKUP(A17,Tasks!B:E,4,FALSE),"")</f>
        <v/>
      </c>
    </row>
    <row r="18" spans="3:7" x14ac:dyDescent="0.4">
      <c r="C18" s="4"/>
      <c r="D18" s="4"/>
      <c r="E18" s="22" t="str">
        <f t="shared" si="0"/>
        <v/>
      </c>
      <c r="F18" s="23" t="str">
        <f t="shared" si="1"/>
        <v/>
      </c>
      <c r="G18" s="20" t="str">
        <f>IF(A18&lt;&gt;"",VLOOKUP(A18,Tasks!B:E,4,FALSE),"")</f>
        <v/>
      </c>
    </row>
    <row r="19" spans="3:7" x14ac:dyDescent="0.4">
      <c r="C19" s="4"/>
      <c r="D19" s="4"/>
      <c r="E19" s="22" t="str">
        <f t="shared" si="0"/>
        <v/>
      </c>
      <c r="F19" s="23" t="str">
        <f t="shared" si="1"/>
        <v/>
      </c>
      <c r="G19" s="20" t="str">
        <f>IF(A19&lt;&gt;"",VLOOKUP(A19,Tasks!B:E,4,FALSE),"")</f>
        <v/>
      </c>
    </row>
    <row r="20" spans="3:7" x14ac:dyDescent="0.4">
      <c r="C20" s="4"/>
      <c r="D20" s="4"/>
      <c r="E20" s="22" t="str">
        <f t="shared" si="0"/>
        <v/>
      </c>
      <c r="F20" s="23" t="str">
        <f t="shared" si="1"/>
        <v/>
      </c>
      <c r="G20" s="20" t="str">
        <f>IF(A20&lt;&gt;"",VLOOKUP(A20,Tasks!B:E,4,FALSE),"")</f>
        <v/>
      </c>
    </row>
    <row r="21" spans="3:7" x14ac:dyDescent="0.4">
      <c r="C21" s="4"/>
      <c r="D21" s="4"/>
      <c r="E21" s="22" t="str">
        <f t="shared" si="0"/>
        <v/>
      </c>
      <c r="F21" s="23" t="str">
        <f t="shared" si="1"/>
        <v/>
      </c>
      <c r="G21" s="20" t="str">
        <f>IF(A21&lt;&gt;"",VLOOKUP(A21,Tasks!B:E,4,FALSE),"")</f>
        <v/>
      </c>
    </row>
    <row r="22" spans="3:7" ht="48" x14ac:dyDescent="0.4">
      <c r="C22" s="4"/>
      <c r="D22" s="4"/>
      <c r="E22" s="22" t="str">
        <f t="shared" si="0"/>
        <v/>
      </c>
      <c r="F22" s="23" t="str">
        <f t="shared" si="1"/>
        <v/>
      </c>
      <c r="G22" s="20" t="str">
        <f>IF(A22&lt;&gt;"",VLOOKUP(A22,Tasks!B:E,4,FALSE),"")</f>
        <v/>
      </c>
    </row>
    <row r="23" spans="3:7" x14ac:dyDescent="0.4">
      <c r="C23" s="4"/>
      <c r="D23" s="4"/>
      <c r="E23" s="22" t="str">
        <f t="shared" si="0"/>
        <v/>
      </c>
      <c r="F23" s="23" t="str">
        <f t="shared" si="1"/>
        <v/>
      </c>
      <c r="G23" s="20" t="str">
        <f>IF(A23&lt;&gt;"",VLOOKUP(A23,Tasks!B:E,4,FALSE),"")</f>
        <v/>
      </c>
    </row>
    <row r="24" spans="3:7" x14ac:dyDescent="0.4">
      <c r="C24" s="4"/>
      <c r="D24" s="4"/>
      <c r="E24" s="22" t="str">
        <f t="shared" si="0"/>
        <v/>
      </c>
      <c r="F24" s="23" t="str">
        <f t="shared" si="1"/>
        <v/>
      </c>
      <c r="G24" s="20" t="str">
        <f>IF(A24&lt;&gt;"",VLOOKUP(A24,Tasks!B:E,4,FALSE),"")</f>
        <v/>
      </c>
    </row>
    <row r="25" spans="3:7" x14ac:dyDescent="0.4">
      <c r="C25" s="4"/>
      <c r="D25" s="4"/>
      <c r="E25" s="22" t="str">
        <f t="shared" si="0"/>
        <v/>
      </c>
      <c r="F25" s="23" t="str">
        <f t="shared" si="1"/>
        <v/>
      </c>
      <c r="G25" s="20" t="str">
        <f>IF(A25&lt;&gt;"",VLOOKUP(A25,Tasks!B:E,4,FALSE),"")</f>
        <v/>
      </c>
    </row>
    <row r="26" spans="3:7" x14ac:dyDescent="0.4">
      <c r="C26" s="4"/>
      <c r="D26" s="4"/>
      <c r="E26" s="22" t="str">
        <f t="shared" si="0"/>
        <v/>
      </c>
      <c r="F26" s="23" t="str">
        <f t="shared" si="1"/>
        <v/>
      </c>
      <c r="G26" s="20" t="str">
        <f>IF(A26&lt;&gt;"",VLOOKUP(A26,Tasks!B:E,4,FALSE),"")</f>
        <v/>
      </c>
    </row>
    <row r="27" spans="3:7" ht="24" x14ac:dyDescent="0.4">
      <c r="C27" s="4"/>
      <c r="D27" s="4"/>
      <c r="E27" s="22" t="str">
        <f t="shared" ref="E27" si="2">IF(D27&lt;&gt;"",(D27-C27)*24,"")</f>
        <v/>
      </c>
      <c r="F27" s="23" t="str">
        <f t="shared" ref="F27" si="3">IF(E27&lt;&gt;"",E27*60,"")</f>
        <v/>
      </c>
      <c r="G27" s="20" t="str">
        <f>IF(A27&lt;&gt;"",VLOOKUP(A27,Tasks!B:E,4,FALSE),"")</f>
        <v/>
      </c>
    </row>
    <row r="28" spans="3:7" ht="24" x14ac:dyDescent="0.4">
      <c r="C28" s="4"/>
      <c r="D28" s="4"/>
      <c r="E28" s="22" t="str">
        <f t="shared" si="0"/>
        <v/>
      </c>
      <c r="F28" s="23" t="str">
        <f t="shared" si="1"/>
        <v/>
      </c>
      <c r="G28" s="20" t="str">
        <f>IF(A28&lt;&gt;"",VLOOKUP(A28,Tasks!B:E,4,FALSE),"")</f>
        <v/>
      </c>
    </row>
    <row r="29" spans="3:7" ht="24" x14ac:dyDescent="0.4">
      <c r="C29" s="4"/>
      <c r="D29" s="4"/>
      <c r="E29" s="22" t="str">
        <f>IF(D29&lt;&gt;"",(D29-C29)*24,"")</f>
        <v/>
      </c>
      <c r="F29" s="23" t="str">
        <f>IF(E29&lt;&gt;"",E29*60,"")</f>
        <v/>
      </c>
      <c r="G29" s="20" t="str">
        <f>IF(A29&lt;&gt;"",VLOOKUP(A29,Tasks!B:E,4,FALSE),"")</f>
        <v/>
      </c>
    </row>
    <row r="30" spans="3:7" ht="24" x14ac:dyDescent="0.4">
      <c r="C30" s="4"/>
      <c r="D30" s="4"/>
      <c r="E30" s="22" t="str">
        <f>IF(D30&lt;&gt;"",(D30-C30)*24,"")</f>
        <v/>
      </c>
      <c r="F30" s="23" t="str">
        <f>IF(E30&lt;&gt;"",E30*60,"")</f>
        <v/>
      </c>
      <c r="G30" s="20" t="str">
        <f>IF(A30&lt;&gt;"",VLOOKUP(A30,Tasks!B:E,4,FALSE),"")</f>
        <v/>
      </c>
    </row>
    <row r="31" spans="3:7" x14ac:dyDescent="0.4">
      <c r="C31" s="4"/>
      <c r="D31" s="4"/>
      <c r="E31" s="22" t="str">
        <f>IF(D31&lt;&gt;"",(D31-C31)*24,"")</f>
        <v/>
      </c>
      <c r="F31" s="23" t="str">
        <f>IF(E31&lt;&gt;"",E31*60,"")</f>
        <v/>
      </c>
      <c r="G31" s="20" t="str">
        <f>IF(A31&lt;&gt;"",VLOOKUP(A31,Tasks!B:E,4,FALSE),"")</f>
        <v/>
      </c>
    </row>
    <row r="32" spans="3:7" x14ac:dyDescent="0.4">
      <c r="C32" s="4"/>
      <c r="D32" s="4"/>
      <c r="E32" s="22" t="str">
        <f t="shared" si="0"/>
        <v/>
      </c>
      <c r="F32" s="23" t="str">
        <f t="shared" si="1"/>
        <v/>
      </c>
      <c r="G32" s="20" t="str">
        <f>IF(A32&lt;&gt;"",VLOOKUP(A32,Tasks!B:E,4,FALSE),"")</f>
        <v/>
      </c>
    </row>
    <row r="33" spans="3:7" x14ac:dyDescent="0.4">
      <c r="C33" s="4"/>
      <c r="D33" s="4"/>
      <c r="E33" s="22" t="str">
        <f t="shared" si="0"/>
        <v/>
      </c>
      <c r="F33" s="23" t="str">
        <f t="shared" si="1"/>
        <v/>
      </c>
      <c r="G33" s="20" t="str">
        <f>IF(A33&lt;&gt;"",VLOOKUP(A33,Tasks!B:E,4,FALSE),"")</f>
        <v/>
      </c>
    </row>
    <row r="34" spans="3:7" x14ac:dyDescent="0.4">
      <c r="C34" s="4"/>
      <c r="D34" s="4"/>
      <c r="E34" s="22" t="str">
        <f t="shared" si="0"/>
        <v/>
      </c>
      <c r="F34" s="23" t="str">
        <f t="shared" si="1"/>
        <v/>
      </c>
      <c r="G34" s="20" t="str">
        <f>IF(A34&lt;&gt;"",VLOOKUP(A34,Tasks!B:E,4,FALSE),"")</f>
        <v/>
      </c>
    </row>
    <row r="35" spans="3:7" x14ac:dyDescent="0.4">
      <c r="C35" s="4"/>
      <c r="D35" s="4"/>
      <c r="E35" s="22" t="str">
        <f t="shared" ref="E35:E96" si="4">IF(D35&lt;&gt;"",(D35-C35)*24,"")</f>
        <v/>
      </c>
      <c r="F35" s="23" t="str">
        <f t="shared" ref="F35:F96" si="5">IF(E35&lt;&gt;"",E35*60,"")</f>
        <v/>
      </c>
      <c r="G35" s="20" t="str">
        <f>IF(A35&lt;&gt;"",VLOOKUP(A35,Tasks!B:E,4,FALSE),"")</f>
        <v/>
      </c>
    </row>
    <row r="36" spans="3:7" x14ac:dyDescent="0.4">
      <c r="C36" s="4"/>
      <c r="D36" s="4"/>
      <c r="E36" s="22" t="str">
        <f t="shared" si="4"/>
        <v/>
      </c>
      <c r="F36" s="23" t="str">
        <f t="shared" si="5"/>
        <v/>
      </c>
      <c r="G36" s="20" t="str">
        <f>IF(A36&lt;&gt;"",VLOOKUP(A36,Tasks!B:E,4,FALSE),"")</f>
        <v/>
      </c>
    </row>
    <row r="37" spans="3:7" x14ac:dyDescent="0.4">
      <c r="C37" s="4"/>
      <c r="D37" s="4"/>
      <c r="E37" s="22" t="str">
        <f t="shared" si="4"/>
        <v/>
      </c>
      <c r="F37" s="23" t="str">
        <f t="shared" si="5"/>
        <v/>
      </c>
      <c r="G37" s="20" t="str">
        <f>IF(A37&lt;&gt;"",VLOOKUP(A37,Tasks!B:E,4,FALSE),"")</f>
        <v/>
      </c>
    </row>
    <row r="38" spans="3:7" x14ac:dyDescent="0.4">
      <c r="C38" s="4"/>
      <c r="D38" s="4"/>
      <c r="E38" s="22" t="str">
        <f t="shared" si="4"/>
        <v/>
      </c>
      <c r="F38" s="23" t="str">
        <f t="shared" si="5"/>
        <v/>
      </c>
      <c r="G38" s="20" t="str">
        <f>IF(A38&lt;&gt;"",VLOOKUP(A38,Tasks!B:E,4,FALSE),"")</f>
        <v/>
      </c>
    </row>
    <row r="39" spans="3:7" x14ac:dyDescent="0.4">
      <c r="C39" s="4"/>
      <c r="D39" s="4"/>
      <c r="E39" s="22" t="str">
        <f t="shared" si="4"/>
        <v/>
      </c>
      <c r="F39" s="23" t="str">
        <f t="shared" si="5"/>
        <v/>
      </c>
      <c r="G39" s="20" t="str">
        <f>IF(A39&lt;&gt;"",VLOOKUP(A39,Tasks!B:E,4,FALSE),"")</f>
        <v/>
      </c>
    </row>
    <row r="40" spans="3:7" x14ac:dyDescent="0.4">
      <c r="C40" s="4"/>
      <c r="D40" s="4"/>
      <c r="E40" s="22" t="str">
        <f t="shared" si="4"/>
        <v/>
      </c>
      <c r="F40" s="23" t="str">
        <f t="shared" si="5"/>
        <v/>
      </c>
      <c r="G40" s="20" t="str">
        <f>IF(A40&lt;&gt;"",VLOOKUP(A40,Tasks!B:E,4,FALSE),"")</f>
        <v/>
      </c>
    </row>
    <row r="41" spans="3:7" x14ac:dyDescent="0.4">
      <c r="C41" s="4"/>
      <c r="D41" s="4"/>
      <c r="E41" s="22" t="str">
        <f t="shared" si="4"/>
        <v/>
      </c>
      <c r="F41" s="23" t="str">
        <f t="shared" si="5"/>
        <v/>
      </c>
      <c r="G41" s="20" t="str">
        <f>IF(A41&lt;&gt;"",VLOOKUP(A41,Tasks!B:E,4,FALSE),"")</f>
        <v/>
      </c>
    </row>
    <row r="42" spans="3:7" x14ac:dyDescent="0.4">
      <c r="C42" s="4"/>
      <c r="D42" s="4"/>
      <c r="E42" s="22" t="str">
        <f t="shared" si="4"/>
        <v/>
      </c>
      <c r="F42" s="23" t="str">
        <f t="shared" si="5"/>
        <v/>
      </c>
      <c r="G42" s="20" t="str">
        <f>IF(A42&lt;&gt;"",VLOOKUP(A42,Tasks!B:E,4,FALSE),"")</f>
        <v/>
      </c>
    </row>
    <row r="43" spans="3:7" x14ac:dyDescent="0.4">
      <c r="C43" s="4"/>
      <c r="D43" s="4"/>
      <c r="E43" s="22" t="str">
        <f t="shared" si="4"/>
        <v/>
      </c>
      <c r="F43" s="23" t="str">
        <f t="shared" si="5"/>
        <v/>
      </c>
      <c r="G43" s="20" t="str">
        <f>IF(A43&lt;&gt;"",VLOOKUP(A43,Tasks!B:E,4,FALSE),"")</f>
        <v/>
      </c>
    </row>
    <row r="44" spans="3:7" x14ac:dyDescent="0.4">
      <c r="C44" s="4"/>
      <c r="D44" s="4"/>
      <c r="E44" s="22" t="str">
        <f t="shared" si="4"/>
        <v/>
      </c>
      <c r="F44" s="23" t="str">
        <f t="shared" si="5"/>
        <v/>
      </c>
      <c r="G44" s="20" t="str">
        <f>IF(A44&lt;&gt;"",VLOOKUP(A44,Tasks!B:E,4,FALSE),"")</f>
        <v/>
      </c>
    </row>
    <row r="45" spans="3:7" x14ac:dyDescent="0.4">
      <c r="C45" s="4"/>
      <c r="D45" s="4"/>
      <c r="E45" s="22" t="str">
        <f t="shared" si="4"/>
        <v/>
      </c>
      <c r="F45" s="23" t="str">
        <f t="shared" si="5"/>
        <v/>
      </c>
      <c r="G45" s="20" t="str">
        <f>IF(A45&lt;&gt;"",VLOOKUP(A45,Tasks!B:E,4,FALSE),"")</f>
        <v/>
      </c>
    </row>
    <row r="46" spans="3:7" x14ac:dyDescent="0.4">
      <c r="C46" s="4"/>
      <c r="D46" s="4"/>
      <c r="E46" s="22" t="str">
        <f t="shared" si="4"/>
        <v/>
      </c>
      <c r="F46" s="23" t="str">
        <f t="shared" si="5"/>
        <v/>
      </c>
      <c r="G46" s="20" t="str">
        <f>IF(A46&lt;&gt;"",VLOOKUP(A46,Tasks!B:E,4,FALSE),"")</f>
        <v/>
      </c>
    </row>
    <row r="47" spans="3:7" x14ac:dyDescent="0.4">
      <c r="C47" s="4"/>
      <c r="D47" s="4"/>
      <c r="E47" s="22" t="str">
        <f t="shared" si="4"/>
        <v/>
      </c>
      <c r="F47" s="23" t="str">
        <f t="shared" si="5"/>
        <v/>
      </c>
      <c r="G47" s="20" t="str">
        <f>IF(A47&lt;&gt;"",VLOOKUP(A47,Tasks!B:E,4,FALSE),"")</f>
        <v/>
      </c>
    </row>
    <row r="48" spans="3:7" x14ac:dyDescent="0.4">
      <c r="C48" s="4"/>
      <c r="D48" s="4"/>
      <c r="E48" s="22" t="str">
        <f t="shared" si="4"/>
        <v/>
      </c>
      <c r="F48" s="23" t="str">
        <f t="shared" si="5"/>
        <v/>
      </c>
      <c r="G48" s="20" t="str">
        <f>IF(A48&lt;&gt;"",VLOOKUP(A48,Tasks!B:E,4,FALSE),"")</f>
        <v/>
      </c>
    </row>
    <row r="49" spans="5:7" x14ac:dyDescent="0.4">
      <c r="E49" s="22" t="str">
        <f t="shared" si="4"/>
        <v/>
      </c>
      <c r="F49" s="23" t="str">
        <f t="shared" si="5"/>
        <v/>
      </c>
      <c r="G49" s="20" t="str">
        <f>IF(A49&lt;&gt;"",VLOOKUP(A49,Tasks!B:E,4,FALSE),"")</f>
        <v/>
      </c>
    </row>
    <row r="50" spans="5:7" x14ac:dyDescent="0.4">
      <c r="E50" s="22" t="str">
        <f t="shared" si="4"/>
        <v/>
      </c>
      <c r="F50" s="23" t="str">
        <f t="shared" si="5"/>
        <v/>
      </c>
      <c r="G50" s="20" t="str">
        <f>IF(A50&lt;&gt;"",VLOOKUP(A50,Tasks!B:E,4,FALSE),"")</f>
        <v/>
      </c>
    </row>
    <row r="51" spans="5:7" x14ac:dyDescent="0.4">
      <c r="E51" s="22" t="str">
        <f t="shared" si="4"/>
        <v/>
      </c>
      <c r="F51" s="23" t="str">
        <f t="shared" si="5"/>
        <v/>
      </c>
      <c r="G51" s="20" t="str">
        <f>IF(A51&lt;&gt;"",VLOOKUP(A51,Tasks!B:E,4,FALSE),"")</f>
        <v/>
      </c>
    </row>
    <row r="52" spans="5:7" x14ac:dyDescent="0.4">
      <c r="E52" s="22" t="str">
        <f t="shared" si="4"/>
        <v/>
      </c>
      <c r="F52" s="23" t="str">
        <f t="shared" si="5"/>
        <v/>
      </c>
      <c r="G52" s="20" t="str">
        <f>IF(A52&lt;&gt;"",VLOOKUP(A52,Tasks!B:E,4,FALSE),"")</f>
        <v/>
      </c>
    </row>
    <row r="53" spans="5:7" x14ac:dyDescent="0.4">
      <c r="E53" s="22" t="str">
        <f t="shared" si="4"/>
        <v/>
      </c>
      <c r="F53" s="23" t="str">
        <f t="shared" si="5"/>
        <v/>
      </c>
      <c r="G53" s="20" t="str">
        <f>IF(A53&lt;&gt;"",VLOOKUP(A53,Tasks!B:E,4,FALSE),"")</f>
        <v/>
      </c>
    </row>
    <row r="54" spans="5:7" x14ac:dyDescent="0.4">
      <c r="E54" s="22" t="str">
        <f t="shared" si="4"/>
        <v/>
      </c>
      <c r="F54" s="23" t="str">
        <f t="shared" si="5"/>
        <v/>
      </c>
      <c r="G54" s="20" t="str">
        <f>IF(A54&lt;&gt;"",VLOOKUP(A54,Tasks!B:E,4,FALSE),"")</f>
        <v/>
      </c>
    </row>
    <row r="55" spans="5:7" x14ac:dyDescent="0.4">
      <c r="E55" s="22" t="str">
        <f t="shared" si="4"/>
        <v/>
      </c>
      <c r="F55" s="23" t="str">
        <f t="shared" si="5"/>
        <v/>
      </c>
      <c r="G55" s="20" t="str">
        <f>IF(A55&lt;&gt;"",VLOOKUP(A55,Tasks!B:E,4,FALSE),"")</f>
        <v/>
      </c>
    </row>
    <row r="56" spans="5:7" x14ac:dyDescent="0.4">
      <c r="E56" s="22" t="str">
        <f t="shared" si="4"/>
        <v/>
      </c>
      <c r="F56" s="23" t="str">
        <f t="shared" si="5"/>
        <v/>
      </c>
      <c r="G56" s="20" t="str">
        <f>IF(A56&lt;&gt;"",VLOOKUP(A56,Tasks!B:E,4,FALSE),"")</f>
        <v/>
      </c>
    </row>
    <row r="57" spans="5:7" x14ac:dyDescent="0.4">
      <c r="E57" s="22" t="str">
        <f t="shared" si="4"/>
        <v/>
      </c>
      <c r="F57" s="23" t="str">
        <f t="shared" si="5"/>
        <v/>
      </c>
      <c r="G57" s="20" t="str">
        <f>IF(A57&lt;&gt;"",VLOOKUP(A57,Tasks!B:E,4,FALSE),"")</f>
        <v/>
      </c>
    </row>
    <row r="58" spans="5:7" x14ac:dyDescent="0.4">
      <c r="E58" s="22" t="str">
        <f t="shared" si="4"/>
        <v/>
      </c>
      <c r="F58" s="23" t="str">
        <f t="shared" si="5"/>
        <v/>
      </c>
      <c r="G58" s="20" t="str">
        <f>IF(A58&lt;&gt;"",VLOOKUP(A58,Tasks!B:E,4,FALSE),"")</f>
        <v/>
      </c>
    </row>
    <row r="59" spans="5:7" x14ac:dyDescent="0.4">
      <c r="E59" s="22" t="str">
        <f t="shared" si="4"/>
        <v/>
      </c>
      <c r="F59" s="23" t="str">
        <f t="shared" si="5"/>
        <v/>
      </c>
      <c r="G59" s="20" t="str">
        <f>IF(A59&lt;&gt;"",VLOOKUP(A59,Tasks!B:E,4,FALSE),"")</f>
        <v/>
      </c>
    </row>
    <row r="60" spans="5:7" x14ac:dyDescent="0.4">
      <c r="E60" s="22" t="str">
        <f t="shared" si="4"/>
        <v/>
      </c>
      <c r="F60" s="23" t="str">
        <f t="shared" si="5"/>
        <v/>
      </c>
      <c r="G60" s="20" t="str">
        <f>IF(A60&lt;&gt;"",VLOOKUP(A60,Tasks!B:E,4,FALSE),"")</f>
        <v/>
      </c>
    </row>
    <row r="61" spans="5:7" x14ac:dyDescent="0.4">
      <c r="E61" s="22" t="str">
        <f t="shared" si="4"/>
        <v/>
      </c>
      <c r="F61" s="23" t="str">
        <f t="shared" si="5"/>
        <v/>
      </c>
      <c r="G61" s="20" t="str">
        <f>IF(A61&lt;&gt;"",VLOOKUP(A61,Tasks!B:E,4,FALSE),"")</f>
        <v/>
      </c>
    </row>
    <row r="62" spans="5:7" x14ac:dyDescent="0.4">
      <c r="E62" s="22" t="str">
        <f t="shared" si="4"/>
        <v/>
      </c>
      <c r="F62" s="23" t="str">
        <f t="shared" si="5"/>
        <v/>
      </c>
      <c r="G62" s="20" t="str">
        <f>IF(A62&lt;&gt;"",VLOOKUP(A62,Tasks!B:E,4,FALSE),"")</f>
        <v/>
      </c>
    </row>
    <row r="63" spans="5:7" x14ac:dyDescent="0.4">
      <c r="E63" s="22" t="str">
        <f t="shared" si="4"/>
        <v/>
      </c>
      <c r="F63" s="23" t="str">
        <f t="shared" si="5"/>
        <v/>
      </c>
      <c r="G63" s="20" t="str">
        <f>IF(A63&lt;&gt;"",VLOOKUP(A63,Tasks!B:E,4,FALSE),"")</f>
        <v/>
      </c>
    </row>
    <row r="64" spans="5:7" x14ac:dyDescent="0.4">
      <c r="E64" s="22" t="str">
        <f t="shared" si="4"/>
        <v/>
      </c>
      <c r="F64" s="23" t="str">
        <f t="shared" si="5"/>
        <v/>
      </c>
      <c r="G64" s="20" t="str">
        <f>IF(A64&lt;&gt;"",VLOOKUP(A64,Tasks!B:E,4,FALSE),"")</f>
        <v/>
      </c>
    </row>
    <row r="65" spans="5:7" x14ac:dyDescent="0.4">
      <c r="E65" s="22" t="str">
        <f t="shared" si="4"/>
        <v/>
      </c>
      <c r="F65" s="23" t="str">
        <f t="shared" si="5"/>
        <v/>
      </c>
      <c r="G65" s="20" t="str">
        <f>IF(A65&lt;&gt;"",VLOOKUP(A65,Tasks!B:E,4,FALSE),"")</f>
        <v/>
      </c>
    </row>
    <row r="66" spans="5:7" x14ac:dyDescent="0.4">
      <c r="E66" s="22" t="str">
        <f t="shared" si="4"/>
        <v/>
      </c>
      <c r="F66" s="23" t="str">
        <f t="shared" si="5"/>
        <v/>
      </c>
      <c r="G66" s="20" t="str">
        <f>IF(A66&lt;&gt;"",VLOOKUP(A66,Tasks!B:E,4,FALSE),"")</f>
        <v/>
      </c>
    </row>
    <row r="67" spans="5:7" x14ac:dyDescent="0.4">
      <c r="E67" s="22" t="str">
        <f t="shared" si="4"/>
        <v/>
      </c>
      <c r="F67" s="23" t="str">
        <f t="shared" si="5"/>
        <v/>
      </c>
      <c r="G67" s="20" t="str">
        <f>IF(A67&lt;&gt;"",VLOOKUP(A67,Tasks!B:E,4,FALSE),"")</f>
        <v/>
      </c>
    </row>
    <row r="68" spans="5:7" x14ac:dyDescent="0.4">
      <c r="E68" s="22" t="str">
        <f t="shared" si="4"/>
        <v/>
      </c>
      <c r="F68" s="23" t="str">
        <f t="shared" si="5"/>
        <v/>
      </c>
      <c r="G68" s="20" t="str">
        <f>IF(A68&lt;&gt;"",VLOOKUP(A68,Tasks!B:E,4,FALSE),"")</f>
        <v/>
      </c>
    </row>
    <row r="69" spans="5:7" x14ac:dyDescent="0.4">
      <c r="E69" s="22" t="str">
        <f t="shared" si="4"/>
        <v/>
      </c>
      <c r="F69" s="23" t="str">
        <f t="shared" si="5"/>
        <v/>
      </c>
      <c r="G69" s="20" t="str">
        <f>IF(A69&lt;&gt;"",VLOOKUP(A69,Tasks!B:E,4,FALSE),"")</f>
        <v/>
      </c>
    </row>
    <row r="70" spans="5:7" x14ac:dyDescent="0.4">
      <c r="E70" s="22" t="str">
        <f t="shared" si="4"/>
        <v/>
      </c>
      <c r="F70" s="23" t="str">
        <f t="shared" si="5"/>
        <v/>
      </c>
      <c r="G70" s="20" t="str">
        <f>IF(A70&lt;&gt;"",VLOOKUP(A70,Tasks!B:E,4,FALSE),"")</f>
        <v/>
      </c>
    </row>
    <row r="71" spans="5:7" x14ac:dyDescent="0.4">
      <c r="E71" s="22" t="str">
        <f t="shared" si="4"/>
        <v/>
      </c>
      <c r="F71" s="23" t="str">
        <f t="shared" si="5"/>
        <v/>
      </c>
      <c r="G71" s="20" t="str">
        <f>IF(A71&lt;&gt;"",VLOOKUP(A71,Tasks!B:E,4,FALSE),"")</f>
        <v/>
      </c>
    </row>
    <row r="72" spans="5:7" x14ac:dyDescent="0.4">
      <c r="E72" s="22" t="str">
        <f t="shared" si="4"/>
        <v/>
      </c>
      <c r="F72" s="23" t="str">
        <f t="shared" si="5"/>
        <v/>
      </c>
      <c r="G72" s="20" t="str">
        <f>IF(A72&lt;&gt;"",VLOOKUP(A72,Tasks!B:E,4,FALSE),"")</f>
        <v/>
      </c>
    </row>
    <row r="73" spans="5:7" x14ac:dyDescent="0.4">
      <c r="E73" s="22" t="str">
        <f t="shared" si="4"/>
        <v/>
      </c>
      <c r="F73" s="23" t="str">
        <f t="shared" si="5"/>
        <v/>
      </c>
      <c r="G73" s="20" t="str">
        <f>IF(A73&lt;&gt;"",VLOOKUP(A73,Tasks!B:E,4,FALSE),"")</f>
        <v/>
      </c>
    </row>
    <row r="74" spans="5:7" x14ac:dyDescent="0.4">
      <c r="E74" s="22" t="str">
        <f t="shared" si="4"/>
        <v/>
      </c>
      <c r="F74" s="23" t="str">
        <f t="shared" si="5"/>
        <v/>
      </c>
      <c r="G74" s="20" t="str">
        <f>IF(A74&lt;&gt;"",VLOOKUP(A74,Tasks!B:E,4,FALSE),"")</f>
        <v/>
      </c>
    </row>
    <row r="75" spans="5:7" x14ac:dyDescent="0.4">
      <c r="E75" s="22" t="str">
        <f t="shared" si="4"/>
        <v/>
      </c>
      <c r="F75" s="23" t="str">
        <f t="shared" si="5"/>
        <v/>
      </c>
      <c r="G75" s="20" t="str">
        <f>IF(A75&lt;&gt;"",VLOOKUP(A75,Tasks!B:E,4,FALSE),"")</f>
        <v/>
      </c>
    </row>
    <row r="76" spans="5:7" x14ac:dyDescent="0.4">
      <c r="E76" s="22" t="str">
        <f t="shared" si="4"/>
        <v/>
      </c>
      <c r="F76" s="23" t="str">
        <f t="shared" si="5"/>
        <v/>
      </c>
      <c r="G76" s="20" t="str">
        <f>IF(A76&lt;&gt;"",VLOOKUP(A76,Tasks!B:E,4,FALSE),"")</f>
        <v/>
      </c>
    </row>
    <row r="77" spans="5:7" x14ac:dyDescent="0.4">
      <c r="E77" s="22" t="str">
        <f t="shared" si="4"/>
        <v/>
      </c>
      <c r="F77" s="23" t="str">
        <f t="shared" si="5"/>
        <v/>
      </c>
      <c r="G77" s="20" t="str">
        <f>IF(A77&lt;&gt;"",VLOOKUP(A77,Tasks!B:E,4,FALSE),"")</f>
        <v/>
      </c>
    </row>
    <row r="78" spans="5:7" x14ac:dyDescent="0.4">
      <c r="E78" s="22" t="str">
        <f t="shared" si="4"/>
        <v/>
      </c>
      <c r="F78" s="23" t="str">
        <f t="shared" si="5"/>
        <v/>
      </c>
      <c r="G78" s="20" t="str">
        <f>IF(A78&lt;&gt;"",VLOOKUP(A78,Tasks!B:E,4,FALSE),"")</f>
        <v/>
      </c>
    </row>
    <row r="79" spans="5:7" x14ac:dyDescent="0.4">
      <c r="E79" s="22" t="str">
        <f t="shared" si="4"/>
        <v/>
      </c>
      <c r="F79" s="23" t="str">
        <f t="shared" si="5"/>
        <v/>
      </c>
      <c r="G79" s="20" t="str">
        <f>IF(A79&lt;&gt;"",VLOOKUP(A79,Tasks!B:E,4,FALSE),"")</f>
        <v/>
      </c>
    </row>
    <row r="80" spans="5:7" x14ac:dyDescent="0.4">
      <c r="E80" s="22" t="str">
        <f t="shared" si="4"/>
        <v/>
      </c>
      <c r="F80" s="23" t="str">
        <f t="shared" si="5"/>
        <v/>
      </c>
      <c r="G80" s="20" t="str">
        <f>IF(A80&lt;&gt;"",VLOOKUP(A80,Tasks!B:E,4,FALSE),"")</f>
        <v/>
      </c>
    </row>
    <row r="81" spans="5:7" x14ac:dyDescent="0.4">
      <c r="E81" s="22" t="str">
        <f t="shared" si="4"/>
        <v/>
      </c>
      <c r="F81" s="23" t="str">
        <f t="shared" si="5"/>
        <v/>
      </c>
      <c r="G81" s="20" t="str">
        <f>IF(A81&lt;&gt;"",VLOOKUP(A81,Tasks!B:E,4,FALSE),"")</f>
        <v/>
      </c>
    </row>
    <row r="82" spans="5:7" x14ac:dyDescent="0.4">
      <c r="E82" s="22" t="str">
        <f t="shared" si="4"/>
        <v/>
      </c>
      <c r="F82" s="23" t="str">
        <f t="shared" si="5"/>
        <v/>
      </c>
      <c r="G82" s="20" t="str">
        <f>IF(A82&lt;&gt;"",VLOOKUP(A82,Tasks!B:E,4,FALSE),"")</f>
        <v/>
      </c>
    </row>
    <row r="83" spans="5:7" x14ac:dyDescent="0.4">
      <c r="E83" s="22" t="str">
        <f t="shared" si="4"/>
        <v/>
      </c>
      <c r="F83" s="23" t="str">
        <f t="shared" si="5"/>
        <v/>
      </c>
      <c r="G83" s="20" t="str">
        <f>IF(A83&lt;&gt;"",VLOOKUP(A83,Tasks!B:E,4,FALSE),"")</f>
        <v/>
      </c>
    </row>
    <row r="84" spans="5:7" x14ac:dyDescent="0.4">
      <c r="E84" s="22" t="str">
        <f t="shared" si="4"/>
        <v/>
      </c>
      <c r="F84" s="23" t="str">
        <f t="shared" si="5"/>
        <v/>
      </c>
      <c r="G84" s="20" t="str">
        <f>IF(A84&lt;&gt;"",VLOOKUP(A84,Tasks!B:E,4,FALSE),"")</f>
        <v/>
      </c>
    </row>
    <row r="85" spans="5:7" x14ac:dyDescent="0.4">
      <c r="E85" s="22" t="str">
        <f t="shared" si="4"/>
        <v/>
      </c>
      <c r="F85" s="23" t="str">
        <f t="shared" si="5"/>
        <v/>
      </c>
      <c r="G85" s="20" t="str">
        <f>IF(A85&lt;&gt;"",VLOOKUP(A85,Tasks!B:E,4,FALSE),"")</f>
        <v/>
      </c>
    </row>
    <row r="86" spans="5:7" x14ac:dyDescent="0.4">
      <c r="E86" s="22" t="str">
        <f t="shared" si="4"/>
        <v/>
      </c>
      <c r="F86" s="23" t="str">
        <f t="shared" si="5"/>
        <v/>
      </c>
      <c r="G86" s="20" t="str">
        <f>IF(A86&lt;&gt;"",VLOOKUP(A86,Tasks!B:E,4,FALSE),"")</f>
        <v/>
      </c>
    </row>
    <row r="87" spans="5:7" x14ac:dyDescent="0.4">
      <c r="E87" s="22" t="str">
        <f t="shared" si="4"/>
        <v/>
      </c>
      <c r="F87" s="23" t="str">
        <f t="shared" si="5"/>
        <v/>
      </c>
      <c r="G87" s="20" t="str">
        <f>IF(A87&lt;&gt;"",VLOOKUP(A87,Tasks!B:E,4,FALSE),"")</f>
        <v/>
      </c>
    </row>
    <row r="88" spans="5:7" x14ac:dyDescent="0.4">
      <c r="E88" s="22" t="str">
        <f t="shared" si="4"/>
        <v/>
      </c>
      <c r="F88" s="23" t="str">
        <f t="shared" si="5"/>
        <v/>
      </c>
      <c r="G88" s="20" t="str">
        <f>IF(A88&lt;&gt;"",VLOOKUP(A88,Tasks!B:E,4,FALSE),"")</f>
        <v/>
      </c>
    </row>
    <row r="89" spans="5:7" x14ac:dyDescent="0.4">
      <c r="E89" s="22" t="str">
        <f t="shared" si="4"/>
        <v/>
      </c>
      <c r="F89" s="23" t="str">
        <f t="shared" si="5"/>
        <v/>
      </c>
      <c r="G89" s="20" t="str">
        <f>IF(A89&lt;&gt;"",VLOOKUP(A89,Tasks!B:E,4,FALSE),"")</f>
        <v/>
      </c>
    </row>
    <row r="90" spans="5:7" x14ac:dyDescent="0.4">
      <c r="E90" s="22" t="str">
        <f t="shared" si="4"/>
        <v/>
      </c>
      <c r="F90" s="23" t="str">
        <f t="shared" si="5"/>
        <v/>
      </c>
      <c r="G90" s="20" t="str">
        <f>IF(A90&lt;&gt;"",VLOOKUP(A90,Tasks!B:E,4,FALSE),"")</f>
        <v/>
      </c>
    </row>
    <row r="91" spans="5:7" x14ac:dyDescent="0.4">
      <c r="E91" s="22" t="str">
        <f t="shared" si="4"/>
        <v/>
      </c>
      <c r="F91" s="23" t="str">
        <f t="shared" si="5"/>
        <v/>
      </c>
      <c r="G91" s="20" t="str">
        <f>IF(A91&lt;&gt;"",VLOOKUP(A91,Tasks!B:E,4,FALSE),"")</f>
        <v/>
      </c>
    </row>
    <row r="92" spans="5:7" x14ac:dyDescent="0.4">
      <c r="E92" s="22" t="str">
        <f t="shared" si="4"/>
        <v/>
      </c>
      <c r="F92" s="23" t="str">
        <f t="shared" si="5"/>
        <v/>
      </c>
      <c r="G92" s="20" t="str">
        <f>IF(A92&lt;&gt;"",VLOOKUP(A92,Tasks!B:E,4,FALSE),"")</f>
        <v/>
      </c>
    </row>
    <row r="93" spans="5:7" x14ac:dyDescent="0.4">
      <c r="E93" s="22" t="str">
        <f t="shared" si="4"/>
        <v/>
      </c>
      <c r="F93" s="23" t="str">
        <f t="shared" si="5"/>
        <v/>
      </c>
      <c r="G93" s="20" t="str">
        <f>IF(A93&lt;&gt;"",VLOOKUP(A93,Tasks!B:E,4,FALSE),"")</f>
        <v/>
      </c>
    </row>
    <row r="94" spans="5:7" x14ac:dyDescent="0.4">
      <c r="E94" s="22" t="str">
        <f t="shared" si="4"/>
        <v/>
      </c>
      <c r="F94" s="23" t="str">
        <f t="shared" si="5"/>
        <v/>
      </c>
      <c r="G94" s="20" t="str">
        <f>IF(A94&lt;&gt;"",VLOOKUP(A94,Tasks!B:E,4,FALSE),"")</f>
        <v/>
      </c>
    </row>
    <row r="95" spans="5:7" x14ac:dyDescent="0.4">
      <c r="E95" s="22" t="str">
        <f t="shared" si="4"/>
        <v/>
      </c>
      <c r="F95" s="23" t="str">
        <f t="shared" si="5"/>
        <v/>
      </c>
      <c r="G95" s="20" t="str">
        <f>IF(A95&lt;&gt;"",VLOOKUP(A95,Tasks!B:E,4,FALSE),"")</f>
        <v/>
      </c>
    </row>
    <row r="96" spans="5:7" x14ac:dyDescent="0.4">
      <c r="E96" s="22" t="str">
        <f t="shared" si="4"/>
        <v/>
      </c>
      <c r="F96" s="23" t="str">
        <f t="shared" si="5"/>
        <v/>
      </c>
      <c r="G96" s="20" t="str">
        <f>IF(A96&lt;&gt;"",VLOOKUP(A96,Tasks!B:E,4,FALSE),"")</f>
        <v/>
      </c>
    </row>
    <row r="97" spans="5:7" x14ac:dyDescent="0.4">
      <c r="E97" s="22" t="str">
        <f t="shared" ref="E97:E160" si="6">IF(D97&lt;&gt;"",(D97-C97)*24,"")</f>
        <v/>
      </c>
      <c r="F97" s="23" t="str">
        <f t="shared" ref="F97:F160" si="7">IF(E97&lt;&gt;"",E97*60,"")</f>
        <v/>
      </c>
      <c r="G97" s="20" t="str">
        <f>IF(A97&lt;&gt;"",VLOOKUP(A97,Tasks!B:E,4,FALSE),"")</f>
        <v/>
      </c>
    </row>
    <row r="98" spans="5:7" x14ac:dyDescent="0.4">
      <c r="E98" s="22" t="str">
        <f t="shared" si="6"/>
        <v/>
      </c>
      <c r="F98" s="23" t="str">
        <f t="shared" si="7"/>
        <v/>
      </c>
      <c r="G98" s="20" t="str">
        <f>IF(A98&lt;&gt;"",VLOOKUP(A98,Tasks!B:E,4,FALSE),"")</f>
        <v/>
      </c>
    </row>
    <row r="99" spans="5:7" x14ac:dyDescent="0.4">
      <c r="E99" s="22" t="str">
        <f t="shared" si="6"/>
        <v/>
      </c>
      <c r="F99" s="23" t="str">
        <f t="shared" si="7"/>
        <v/>
      </c>
      <c r="G99" s="20" t="str">
        <f>IF(A99&lt;&gt;"",VLOOKUP(A99,Tasks!B:E,4,FALSE),"")</f>
        <v/>
      </c>
    </row>
    <row r="100" spans="5:7" x14ac:dyDescent="0.4">
      <c r="E100" s="22" t="str">
        <f t="shared" si="6"/>
        <v/>
      </c>
      <c r="F100" s="23" t="str">
        <f t="shared" si="7"/>
        <v/>
      </c>
      <c r="G100" s="20" t="str">
        <f>IF(A100&lt;&gt;"",VLOOKUP(A100,Tasks!B:E,4,FALSE),"")</f>
        <v/>
      </c>
    </row>
    <row r="101" spans="5:7" x14ac:dyDescent="0.4">
      <c r="E101" s="22" t="str">
        <f t="shared" si="6"/>
        <v/>
      </c>
      <c r="F101" s="23" t="str">
        <f t="shared" si="7"/>
        <v/>
      </c>
      <c r="G101" s="20" t="str">
        <f>IF(A101&lt;&gt;"",VLOOKUP(A101,Tasks!B:E,4,FALSE),"")</f>
        <v/>
      </c>
    </row>
    <row r="102" spans="5:7" x14ac:dyDescent="0.4">
      <c r="E102" s="22" t="str">
        <f t="shared" si="6"/>
        <v/>
      </c>
      <c r="F102" s="23" t="str">
        <f t="shared" si="7"/>
        <v/>
      </c>
      <c r="G102" s="20" t="str">
        <f>IF(A102&lt;&gt;"",VLOOKUP(A102,Tasks!B:E,4,FALSE),"")</f>
        <v/>
      </c>
    </row>
    <row r="103" spans="5:7" x14ac:dyDescent="0.4">
      <c r="E103" s="22" t="str">
        <f t="shared" si="6"/>
        <v/>
      </c>
      <c r="F103" s="23" t="str">
        <f t="shared" si="7"/>
        <v/>
      </c>
      <c r="G103" s="20" t="str">
        <f>IF(A103&lt;&gt;"",VLOOKUP(A103,Tasks!B:E,4,FALSE),"")</f>
        <v/>
      </c>
    </row>
    <row r="104" spans="5:7" x14ac:dyDescent="0.4">
      <c r="E104" s="22" t="str">
        <f t="shared" si="6"/>
        <v/>
      </c>
      <c r="F104" s="23" t="str">
        <f t="shared" si="7"/>
        <v/>
      </c>
      <c r="G104" s="20" t="str">
        <f>IF(A104&lt;&gt;"",VLOOKUP(A104,Tasks!B:E,4,FALSE),"")</f>
        <v/>
      </c>
    </row>
    <row r="105" spans="5:7" x14ac:dyDescent="0.4">
      <c r="E105" s="22" t="str">
        <f t="shared" si="6"/>
        <v/>
      </c>
      <c r="F105" s="23" t="str">
        <f t="shared" si="7"/>
        <v/>
      </c>
      <c r="G105" s="20" t="str">
        <f>IF(A105&lt;&gt;"",VLOOKUP(A105,Tasks!B:E,4,FALSE),"")</f>
        <v/>
      </c>
    </row>
    <row r="106" spans="5:7" x14ac:dyDescent="0.4">
      <c r="E106" s="22" t="str">
        <f t="shared" si="6"/>
        <v/>
      </c>
      <c r="F106" s="23" t="str">
        <f t="shared" si="7"/>
        <v/>
      </c>
      <c r="G106" s="20" t="str">
        <f>IF(A106&lt;&gt;"",VLOOKUP(A106,Tasks!B:E,4,FALSE),"")</f>
        <v/>
      </c>
    </row>
    <row r="107" spans="5:7" x14ac:dyDescent="0.4">
      <c r="E107" s="22" t="str">
        <f t="shared" si="6"/>
        <v/>
      </c>
      <c r="F107" s="23" t="str">
        <f t="shared" si="7"/>
        <v/>
      </c>
      <c r="G107" s="20" t="str">
        <f>IF(A107&lt;&gt;"",VLOOKUP(A107,Tasks!B:E,4,FALSE),"")</f>
        <v/>
      </c>
    </row>
    <row r="108" spans="5:7" x14ac:dyDescent="0.4">
      <c r="E108" s="22" t="str">
        <f t="shared" si="6"/>
        <v/>
      </c>
      <c r="F108" s="23" t="str">
        <f t="shared" si="7"/>
        <v/>
      </c>
      <c r="G108" s="20" t="str">
        <f>IF(A108&lt;&gt;"",VLOOKUP(A108,Tasks!B:E,4,FALSE),"")</f>
        <v/>
      </c>
    </row>
    <row r="109" spans="5:7" x14ac:dyDescent="0.4">
      <c r="E109" s="22" t="str">
        <f t="shared" si="6"/>
        <v/>
      </c>
      <c r="F109" s="23" t="str">
        <f t="shared" si="7"/>
        <v/>
      </c>
      <c r="G109" s="20" t="str">
        <f>IF(A109&lt;&gt;"",VLOOKUP(A109,Tasks!B:E,4,FALSE),"")</f>
        <v/>
      </c>
    </row>
    <row r="110" spans="5:7" x14ac:dyDescent="0.4">
      <c r="E110" s="22" t="str">
        <f t="shared" si="6"/>
        <v/>
      </c>
      <c r="F110" s="23" t="str">
        <f t="shared" si="7"/>
        <v/>
      </c>
      <c r="G110" s="20" t="str">
        <f>IF(A110&lt;&gt;"",VLOOKUP(A110,Tasks!B:E,4,FALSE),"")</f>
        <v/>
      </c>
    </row>
    <row r="111" spans="5:7" x14ac:dyDescent="0.4">
      <c r="E111" s="22" t="str">
        <f t="shared" si="6"/>
        <v/>
      </c>
      <c r="F111" s="23" t="str">
        <f t="shared" si="7"/>
        <v/>
      </c>
      <c r="G111" s="20" t="str">
        <f>IF(A111&lt;&gt;"",VLOOKUP(A111,Tasks!B:E,4,FALSE),"")</f>
        <v/>
      </c>
    </row>
    <row r="112" spans="5:7" x14ac:dyDescent="0.4">
      <c r="E112" s="22" t="str">
        <f t="shared" si="6"/>
        <v/>
      </c>
      <c r="F112" s="23" t="str">
        <f t="shared" si="7"/>
        <v/>
      </c>
      <c r="G112" s="20" t="str">
        <f>IF(A112&lt;&gt;"",VLOOKUP(A112,Tasks!B:E,4,FALSE),"")</f>
        <v/>
      </c>
    </row>
    <row r="113" spans="5:7" x14ac:dyDescent="0.4">
      <c r="E113" s="22" t="str">
        <f t="shared" si="6"/>
        <v/>
      </c>
      <c r="F113" s="23" t="str">
        <f t="shared" si="7"/>
        <v/>
      </c>
      <c r="G113" s="20" t="str">
        <f>IF(A113&lt;&gt;"",VLOOKUP(A113,Tasks!B:E,4,FALSE),"")</f>
        <v/>
      </c>
    </row>
    <row r="114" spans="5:7" x14ac:dyDescent="0.4">
      <c r="E114" s="22" t="str">
        <f t="shared" si="6"/>
        <v/>
      </c>
      <c r="F114" s="23" t="str">
        <f t="shared" si="7"/>
        <v/>
      </c>
      <c r="G114" s="20" t="str">
        <f>IF(A114&lt;&gt;"",VLOOKUP(A114,Tasks!B:E,4,FALSE),"")</f>
        <v/>
      </c>
    </row>
    <row r="115" spans="5:7" x14ac:dyDescent="0.4">
      <c r="E115" s="22" t="str">
        <f t="shared" si="6"/>
        <v/>
      </c>
      <c r="F115" s="23" t="str">
        <f t="shared" si="7"/>
        <v/>
      </c>
      <c r="G115" s="20" t="str">
        <f>IF(A115&lt;&gt;"",VLOOKUP(A115,Tasks!B:E,4,FALSE),"")</f>
        <v/>
      </c>
    </row>
    <row r="116" spans="5:7" x14ac:dyDescent="0.4">
      <c r="E116" s="22" t="str">
        <f t="shared" si="6"/>
        <v/>
      </c>
      <c r="F116" s="23" t="str">
        <f t="shared" si="7"/>
        <v/>
      </c>
      <c r="G116" s="20" t="str">
        <f>IF(A116&lt;&gt;"",VLOOKUP(A116,Tasks!B:E,4,FALSE),"")</f>
        <v/>
      </c>
    </row>
    <row r="117" spans="5:7" x14ac:dyDescent="0.4">
      <c r="E117" s="22" t="str">
        <f t="shared" si="6"/>
        <v/>
      </c>
      <c r="F117" s="23" t="str">
        <f t="shared" si="7"/>
        <v/>
      </c>
      <c r="G117" s="20" t="str">
        <f>IF(A117&lt;&gt;"",VLOOKUP(A117,Tasks!B:E,4,FALSE),"")</f>
        <v/>
      </c>
    </row>
    <row r="118" spans="5:7" x14ac:dyDescent="0.4">
      <c r="E118" s="22" t="str">
        <f t="shared" si="6"/>
        <v/>
      </c>
      <c r="F118" s="23" t="str">
        <f t="shared" si="7"/>
        <v/>
      </c>
      <c r="G118" s="20" t="str">
        <f>IF(A118&lt;&gt;"",VLOOKUP(A118,Tasks!B:E,4,FALSE),"")</f>
        <v/>
      </c>
    </row>
    <row r="119" spans="5:7" x14ac:dyDescent="0.4">
      <c r="E119" s="22" t="str">
        <f t="shared" si="6"/>
        <v/>
      </c>
      <c r="F119" s="23" t="str">
        <f t="shared" si="7"/>
        <v/>
      </c>
      <c r="G119" s="20" t="str">
        <f>IF(A119&lt;&gt;"",VLOOKUP(A119,Tasks!B:E,4,FALSE),"")</f>
        <v/>
      </c>
    </row>
    <row r="120" spans="5:7" x14ac:dyDescent="0.4">
      <c r="E120" s="22" t="str">
        <f t="shared" si="6"/>
        <v/>
      </c>
      <c r="F120" s="23" t="str">
        <f t="shared" si="7"/>
        <v/>
      </c>
      <c r="G120" s="20" t="str">
        <f>IF(A120&lt;&gt;"",VLOOKUP(A120,Tasks!B:E,4,FALSE),"")</f>
        <v/>
      </c>
    </row>
    <row r="121" spans="5:7" x14ac:dyDescent="0.4">
      <c r="E121" s="22" t="str">
        <f t="shared" si="6"/>
        <v/>
      </c>
      <c r="F121" s="23" t="str">
        <f t="shared" si="7"/>
        <v/>
      </c>
      <c r="G121" s="20" t="str">
        <f>IF(A121&lt;&gt;"",VLOOKUP(A121,Tasks!B:E,4,FALSE),"")</f>
        <v/>
      </c>
    </row>
    <row r="122" spans="5:7" x14ac:dyDescent="0.4">
      <c r="E122" s="22" t="str">
        <f t="shared" si="6"/>
        <v/>
      </c>
      <c r="F122" s="23" t="str">
        <f t="shared" si="7"/>
        <v/>
      </c>
      <c r="G122" s="20" t="str">
        <f>IF(A122&lt;&gt;"",VLOOKUP(A122,Tasks!B:E,4,FALSE),"")</f>
        <v/>
      </c>
    </row>
    <row r="123" spans="5:7" x14ac:dyDescent="0.4">
      <c r="E123" s="22" t="str">
        <f t="shared" si="6"/>
        <v/>
      </c>
      <c r="F123" s="23" t="str">
        <f t="shared" si="7"/>
        <v/>
      </c>
      <c r="G123" s="20" t="str">
        <f>IF(A123&lt;&gt;"",VLOOKUP(A123,Tasks!B:E,4,FALSE),"")</f>
        <v/>
      </c>
    </row>
    <row r="124" spans="5:7" x14ac:dyDescent="0.4">
      <c r="E124" s="22" t="str">
        <f t="shared" si="6"/>
        <v/>
      </c>
      <c r="F124" s="23" t="str">
        <f t="shared" si="7"/>
        <v/>
      </c>
      <c r="G124" s="20" t="str">
        <f>IF(A124&lt;&gt;"",VLOOKUP(A124,Tasks!B:E,4,FALSE),"")</f>
        <v/>
      </c>
    </row>
    <row r="125" spans="5:7" x14ac:dyDescent="0.4">
      <c r="E125" s="22" t="str">
        <f t="shared" si="6"/>
        <v/>
      </c>
      <c r="F125" s="23" t="str">
        <f t="shared" si="7"/>
        <v/>
      </c>
      <c r="G125" s="20" t="str">
        <f>IF(A125&lt;&gt;"",VLOOKUP(A125,Tasks!B:E,4,FALSE),"")</f>
        <v/>
      </c>
    </row>
    <row r="126" spans="5:7" x14ac:dyDescent="0.4">
      <c r="E126" s="22" t="str">
        <f t="shared" si="6"/>
        <v/>
      </c>
      <c r="F126" s="23" t="str">
        <f t="shared" si="7"/>
        <v/>
      </c>
      <c r="G126" s="20" t="str">
        <f>IF(A126&lt;&gt;"",VLOOKUP(A126,Tasks!B:E,4,FALSE),"")</f>
        <v/>
      </c>
    </row>
    <row r="127" spans="5:7" x14ac:dyDescent="0.4">
      <c r="E127" s="22" t="str">
        <f t="shared" si="6"/>
        <v/>
      </c>
      <c r="F127" s="23" t="str">
        <f t="shared" si="7"/>
        <v/>
      </c>
      <c r="G127" s="20" t="str">
        <f>IF(A127&lt;&gt;"",VLOOKUP(A127,Tasks!B:E,4,FALSE),"")</f>
        <v/>
      </c>
    </row>
    <row r="128" spans="5:7" x14ac:dyDescent="0.4">
      <c r="E128" s="22" t="str">
        <f t="shared" si="6"/>
        <v/>
      </c>
      <c r="F128" s="23" t="str">
        <f t="shared" si="7"/>
        <v/>
      </c>
      <c r="G128" s="20" t="str">
        <f>IF(A128&lt;&gt;"",VLOOKUP(A128,Tasks!B:E,4,FALSE),"")</f>
        <v/>
      </c>
    </row>
    <row r="129" spans="5:7" x14ac:dyDescent="0.4">
      <c r="E129" s="22" t="str">
        <f t="shared" si="6"/>
        <v/>
      </c>
      <c r="F129" s="23" t="str">
        <f t="shared" si="7"/>
        <v/>
      </c>
      <c r="G129" s="20" t="str">
        <f>IF(A129&lt;&gt;"",VLOOKUP(A129,Tasks!B:E,4,FALSE),"")</f>
        <v/>
      </c>
    </row>
    <row r="130" spans="5:7" x14ac:dyDescent="0.4">
      <c r="E130" s="22" t="str">
        <f t="shared" si="6"/>
        <v/>
      </c>
      <c r="F130" s="23" t="str">
        <f t="shared" si="7"/>
        <v/>
      </c>
      <c r="G130" s="20" t="str">
        <f>IF(A130&lt;&gt;"",VLOOKUP(A130,Tasks!B:E,4,FALSE),"")</f>
        <v/>
      </c>
    </row>
    <row r="131" spans="5:7" x14ac:dyDescent="0.4">
      <c r="E131" s="22" t="str">
        <f t="shared" si="6"/>
        <v/>
      </c>
      <c r="F131" s="23" t="str">
        <f t="shared" si="7"/>
        <v/>
      </c>
      <c r="G131" s="20" t="str">
        <f>IF(A131&lt;&gt;"",VLOOKUP(A131,Tasks!B:E,4,FALSE),"")</f>
        <v/>
      </c>
    </row>
    <row r="132" spans="5:7" x14ac:dyDescent="0.4">
      <c r="E132" s="22" t="str">
        <f t="shared" si="6"/>
        <v/>
      </c>
      <c r="F132" s="23" t="str">
        <f t="shared" si="7"/>
        <v/>
      </c>
      <c r="G132" s="20" t="str">
        <f>IF(A132&lt;&gt;"",VLOOKUP(A132,Tasks!B:E,4,FALSE),"")</f>
        <v/>
      </c>
    </row>
    <row r="133" spans="5:7" x14ac:dyDescent="0.4">
      <c r="E133" s="22" t="str">
        <f t="shared" si="6"/>
        <v/>
      </c>
      <c r="F133" s="23" t="str">
        <f t="shared" si="7"/>
        <v/>
      </c>
      <c r="G133" s="20" t="str">
        <f>IF(A133&lt;&gt;"",VLOOKUP(A133,Tasks!B:E,4,FALSE),"")</f>
        <v/>
      </c>
    </row>
    <row r="134" spans="5:7" x14ac:dyDescent="0.4">
      <c r="E134" s="22" t="str">
        <f t="shared" si="6"/>
        <v/>
      </c>
      <c r="F134" s="23" t="str">
        <f t="shared" si="7"/>
        <v/>
      </c>
      <c r="G134" s="20" t="str">
        <f>IF(A134&lt;&gt;"",VLOOKUP(A134,Tasks!B:E,4,FALSE),"")</f>
        <v/>
      </c>
    </row>
    <row r="135" spans="5:7" x14ac:dyDescent="0.4">
      <c r="E135" s="22" t="str">
        <f t="shared" si="6"/>
        <v/>
      </c>
      <c r="F135" s="23" t="str">
        <f t="shared" si="7"/>
        <v/>
      </c>
      <c r="G135" s="20" t="str">
        <f>IF(A135&lt;&gt;"",VLOOKUP(A135,Tasks!B:E,4,FALSE),"")</f>
        <v/>
      </c>
    </row>
    <row r="136" spans="5:7" x14ac:dyDescent="0.4">
      <c r="E136" s="22" t="str">
        <f t="shared" si="6"/>
        <v/>
      </c>
      <c r="F136" s="23" t="str">
        <f t="shared" si="7"/>
        <v/>
      </c>
      <c r="G136" s="20" t="str">
        <f>IF(A136&lt;&gt;"",VLOOKUP(A136,Tasks!B:E,4,FALSE),"")</f>
        <v/>
      </c>
    </row>
    <row r="137" spans="5:7" x14ac:dyDescent="0.4">
      <c r="E137" s="22" t="str">
        <f t="shared" si="6"/>
        <v/>
      </c>
      <c r="F137" s="23" t="str">
        <f t="shared" si="7"/>
        <v/>
      </c>
      <c r="G137" s="20" t="str">
        <f>IF(A137&lt;&gt;"",VLOOKUP(A137,Tasks!B:E,4,FALSE),"")</f>
        <v/>
      </c>
    </row>
    <row r="138" spans="5:7" x14ac:dyDescent="0.4">
      <c r="E138" s="22" t="str">
        <f t="shared" si="6"/>
        <v/>
      </c>
      <c r="F138" s="23" t="str">
        <f t="shared" si="7"/>
        <v/>
      </c>
      <c r="G138" s="20" t="str">
        <f>IF(A138&lt;&gt;"",VLOOKUP(A138,Tasks!B:E,4,FALSE),"")</f>
        <v/>
      </c>
    </row>
    <row r="139" spans="5:7" x14ac:dyDescent="0.4">
      <c r="E139" s="22" t="str">
        <f t="shared" si="6"/>
        <v/>
      </c>
      <c r="F139" s="23" t="str">
        <f t="shared" si="7"/>
        <v/>
      </c>
      <c r="G139" s="20" t="str">
        <f>IF(A139&lt;&gt;"",VLOOKUP(A139,Tasks!B:E,4,FALSE),"")</f>
        <v/>
      </c>
    </row>
    <row r="140" spans="5:7" x14ac:dyDescent="0.4">
      <c r="E140" s="22" t="str">
        <f t="shared" si="6"/>
        <v/>
      </c>
      <c r="F140" s="23" t="str">
        <f t="shared" si="7"/>
        <v/>
      </c>
      <c r="G140" s="20" t="str">
        <f>IF(A140&lt;&gt;"",VLOOKUP(A140,Tasks!B:E,4,FALSE),"")</f>
        <v/>
      </c>
    </row>
    <row r="141" spans="5:7" x14ac:dyDescent="0.4">
      <c r="E141" s="22" t="str">
        <f t="shared" si="6"/>
        <v/>
      </c>
      <c r="F141" s="23" t="str">
        <f t="shared" si="7"/>
        <v/>
      </c>
      <c r="G141" s="20" t="str">
        <f>IF(A141&lt;&gt;"",VLOOKUP(A141,Tasks!B:E,4,FALSE),"")</f>
        <v/>
      </c>
    </row>
    <row r="142" spans="5:7" x14ac:dyDescent="0.4">
      <c r="E142" s="22" t="str">
        <f t="shared" si="6"/>
        <v/>
      </c>
      <c r="F142" s="23" t="str">
        <f t="shared" si="7"/>
        <v/>
      </c>
      <c r="G142" s="20" t="str">
        <f>IF(A142&lt;&gt;"",VLOOKUP(A142,Tasks!B:E,4,FALSE),"")</f>
        <v/>
      </c>
    </row>
    <row r="143" spans="5:7" x14ac:dyDescent="0.4">
      <c r="E143" s="22" t="str">
        <f t="shared" si="6"/>
        <v/>
      </c>
      <c r="F143" s="23" t="str">
        <f t="shared" si="7"/>
        <v/>
      </c>
      <c r="G143" s="20" t="str">
        <f>IF(A143&lt;&gt;"",VLOOKUP(A143,Tasks!B:E,4,FALSE),"")</f>
        <v/>
      </c>
    </row>
    <row r="144" spans="5:7" x14ac:dyDescent="0.4">
      <c r="E144" s="22" t="str">
        <f t="shared" si="6"/>
        <v/>
      </c>
      <c r="F144" s="23" t="str">
        <f t="shared" si="7"/>
        <v/>
      </c>
      <c r="G144" s="20" t="str">
        <f>IF(A144&lt;&gt;"",VLOOKUP(A144,Tasks!B:E,4,FALSE),"")</f>
        <v/>
      </c>
    </row>
    <row r="145" spans="5:7" x14ac:dyDescent="0.4">
      <c r="E145" s="22" t="str">
        <f t="shared" si="6"/>
        <v/>
      </c>
      <c r="F145" s="23" t="str">
        <f t="shared" si="7"/>
        <v/>
      </c>
      <c r="G145" s="20" t="str">
        <f>IF(A145&lt;&gt;"",VLOOKUP(A145,Tasks!B:E,4,FALSE),"")</f>
        <v/>
      </c>
    </row>
    <row r="146" spans="5:7" x14ac:dyDescent="0.4">
      <c r="E146" s="22" t="str">
        <f t="shared" si="6"/>
        <v/>
      </c>
      <c r="F146" s="23" t="str">
        <f t="shared" si="7"/>
        <v/>
      </c>
      <c r="G146" s="20" t="str">
        <f>IF(A146&lt;&gt;"",VLOOKUP(A146,Tasks!B:E,4,FALSE),"")</f>
        <v/>
      </c>
    </row>
    <row r="147" spans="5:7" x14ac:dyDescent="0.4">
      <c r="E147" s="22" t="str">
        <f t="shared" si="6"/>
        <v/>
      </c>
      <c r="F147" s="23" t="str">
        <f t="shared" si="7"/>
        <v/>
      </c>
      <c r="G147" s="20" t="str">
        <f>IF(A147&lt;&gt;"",VLOOKUP(A147,Tasks!B:E,4,FALSE),"")</f>
        <v/>
      </c>
    </row>
    <row r="148" spans="5:7" x14ac:dyDescent="0.4">
      <c r="E148" s="22" t="str">
        <f t="shared" si="6"/>
        <v/>
      </c>
      <c r="F148" s="23" t="str">
        <f t="shared" si="7"/>
        <v/>
      </c>
      <c r="G148" s="20" t="str">
        <f>IF(A148&lt;&gt;"",VLOOKUP(A148,Tasks!B:E,4,FALSE),"")</f>
        <v/>
      </c>
    </row>
    <row r="149" spans="5:7" x14ac:dyDescent="0.4">
      <c r="E149" s="22" t="str">
        <f t="shared" si="6"/>
        <v/>
      </c>
      <c r="F149" s="23" t="str">
        <f t="shared" si="7"/>
        <v/>
      </c>
      <c r="G149" s="20" t="str">
        <f>IF(A149&lt;&gt;"",VLOOKUP(A149,Tasks!B:E,4,FALSE),"")</f>
        <v/>
      </c>
    </row>
    <row r="150" spans="5:7" x14ac:dyDescent="0.4">
      <c r="E150" s="22" t="str">
        <f t="shared" si="6"/>
        <v/>
      </c>
      <c r="F150" s="23" t="str">
        <f t="shared" si="7"/>
        <v/>
      </c>
      <c r="G150" s="20" t="str">
        <f>IF(A150&lt;&gt;"",VLOOKUP(A150,Tasks!B:E,4,FALSE),"")</f>
        <v/>
      </c>
    </row>
    <row r="151" spans="5:7" x14ac:dyDescent="0.4">
      <c r="E151" s="22" t="str">
        <f t="shared" si="6"/>
        <v/>
      </c>
      <c r="F151" s="23" t="str">
        <f t="shared" si="7"/>
        <v/>
      </c>
      <c r="G151" s="20" t="str">
        <f>IF(A151&lt;&gt;"",VLOOKUP(A151,Tasks!B:E,4,FALSE),"")</f>
        <v/>
      </c>
    </row>
    <row r="152" spans="5:7" x14ac:dyDescent="0.4">
      <c r="E152" s="22" t="str">
        <f t="shared" si="6"/>
        <v/>
      </c>
      <c r="F152" s="23" t="str">
        <f t="shared" si="7"/>
        <v/>
      </c>
      <c r="G152" s="20" t="str">
        <f>IF(A152&lt;&gt;"",VLOOKUP(A152,Tasks!B:E,4,FALSE),"")</f>
        <v/>
      </c>
    </row>
    <row r="153" spans="5:7" x14ac:dyDescent="0.4">
      <c r="E153" s="22" t="str">
        <f t="shared" si="6"/>
        <v/>
      </c>
      <c r="F153" s="23" t="str">
        <f t="shared" si="7"/>
        <v/>
      </c>
      <c r="G153" s="20" t="str">
        <f>IF(A153&lt;&gt;"",VLOOKUP(A153,Tasks!B:E,4,FALSE),"")</f>
        <v/>
      </c>
    </row>
    <row r="154" spans="5:7" x14ac:dyDescent="0.4">
      <c r="E154" s="22" t="str">
        <f t="shared" si="6"/>
        <v/>
      </c>
      <c r="F154" s="23" t="str">
        <f t="shared" si="7"/>
        <v/>
      </c>
      <c r="G154" s="20" t="str">
        <f>IF(A154&lt;&gt;"",VLOOKUP(A154,Tasks!B:E,4,FALSE),"")</f>
        <v/>
      </c>
    </row>
    <row r="155" spans="5:7" x14ac:dyDescent="0.4">
      <c r="E155" s="22" t="str">
        <f t="shared" si="6"/>
        <v/>
      </c>
      <c r="F155" s="23" t="str">
        <f t="shared" si="7"/>
        <v/>
      </c>
      <c r="G155" s="20" t="str">
        <f>IF(A155&lt;&gt;"",VLOOKUP(A155,Tasks!B:E,4,FALSE),"")</f>
        <v/>
      </c>
    </row>
    <row r="156" spans="5:7" x14ac:dyDescent="0.4">
      <c r="E156" s="22" t="str">
        <f t="shared" si="6"/>
        <v/>
      </c>
      <c r="F156" s="23" t="str">
        <f t="shared" si="7"/>
        <v/>
      </c>
      <c r="G156" s="20" t="str">
        <f>IF(A156&lt;&gt;"",VLOOKUP(A156,Tasks!B:E,4,FALSE),"")</f>
        <v/>
      </c>
    </row>
    <row r="157" spans="5:7" x14ac:dyDescent="0.4">
      <c r="E157" s="22" t="str">
        <f t="shared" si="6"/>
        <v/>
      </c>
      <c r="F157" s="23" t="str">
        <f t="shared" si="7"/>
        <v/>
      </c>
      <c r="G157" s="20" t="str">
        <f>IF(A157&lt;&gt;"",VLOOKUP(A157,Tasks!B:E,4,FALSE),"")</f>
        <v/>
      </c>
    </row>
    <row r="158" spans="5:7" x14ac:dyDescent="0.4">
      <c r="E158" s="22" t="str">
        <f t="shared" si="6"/>
        <v/>
      </c>
      <c r="F158" s="23" t="str">
        <f t="shared" si="7"/>
        <v/>
      </c>
      <c r="G158" s="20" t="str">
        <f>IF(A158&lt;&gt;"",VLOOKUP(A158,Tasks!B:E,4,FALSE),"")</f>
        <v/>
      </c>
    </row>
    <row r="159" spans="5:7" x14ac:dyDescent="0.4">
      <c r="E159" s="22" t="str">
        <f t="shared" si="6"/>
        <v/>
      </c>
      <c r="F159" s="23" t="str">
        <f t="shared" si="7"/>
        <v/>
      </c>
      <c r="G159" s="20" t="str">
        <f>IF(A159&lt;&gt;"",VLOOKUP(A159,Tasks!B:E,4,FALSE),"")</f>
        <v/>
      </c>
    </row>
    <row r="160" spans="5:7" x14ac:dyDescent="0.4">
      <c r="E160" s="22" t="str">
        <f t="shared" si="6"/>
        <v/>
      </c>
      <c r="F160" s="23" t="str">
        <f t="shared" si="7"/>
        <v/>
      </c>
      <c r="G160" s="20" t="str">
        <f>IF(A160&lt;&gt;"",VLOOKUP(A160,Tasks!B:E,4,FALSE),"")</f>
        <v/>
      </c>
    </row>
    <row r="161" spans="5:7" x14ac:dyDescent="0.4">
      <c r="E161" s="22" t="str">
        <f t="shared" ref="E161:E200" si="8">IF(D161&lt;&gt;"",(D161-C161)*24,"")</f>
        <v/>
      </c>
      <c r="F161" s="23" t="str">
        <f t="shared" ref="F161:F200" si="9">IF(E161&lt;&gt;"",E161*60,"")</f>
        <v/>
      </c>
      <c r="G161" s="20" t="str">
        <f>IF(A161&lt;&gt;"",VLOOKUP(A161,Tasks!B:E,4,FALSE),"")</f>
        <v/>
      </c>
    </row>
    <row r="162" spans="5:7" x14ac:dyDescent="0.4">
      <c r="E162" s="22" t="str">
        <f t="shared" si="8"/>
        <v/>
      </c>
      <c r="F162" s="23" t="str">
        <f t="shared" si="9"/>
        <v/>
      </c>
      <c r="G162" s="20" t="str">
        <f>IF(A162&lt;&gt;"",VLOOKUP(A162,Tasks!B:E,4,FALSE),"")</f>
        <v/>
      </c>
    </row>
    <row r="163" spans="5:7" x14ac:dyDescent="0.4">
      <c r="E163" s="22" t="str">
        <f t="shared" si="8"/>
        <v/>
      </c>
      <c r="F163" s="23" t="str">
        <f t="shared" si="9"/>
        <v/>
      </c>
      <c r="G163" s="20" t="str">
        <f>IF(A163&lt;&gt;"",VLOOKUP(A163,Tasks!B:E,4,FALSE),"")</f>
        <v/>
      </c>
    </row>
    <row r="164" spans="5:7" x14ac:dyDescent="0.4">
      <c r="E164" s="22" t="str">
        <f t="shared" si="8"/>
        <v/>
      </c>
      <c r="F164" s="23" t="str">
        <f t="shared" si="9"/>
        <v/>
      </c>
      <c r="G164" s="20" t="str">
        <f>IF(A164&lt;&gt;"",VLOOKUP(A164,Tasks!B:E,4,FALSE),"")</f>
        <v/>
      </c>
    </row>
    <row r="165" spans="5:7" x14ac:dyDescent="0.4">
      <c r="E165" s="22" t="str">
        <f t="shared" si="8"/>
        <v/>
      </c>
      <c r="F165" s="23" t="str">
        <f t="shared" si="9"/>
        <v/>
      </c>
      <c r="G165" s="20" t="str">
        <f>IF(A165&lt;&gt;"",VLOOKUP(A165,Tasks!B:E,4,FALSE),"")</f>
        <v/>
      </c>
    </row>
    <row r="166" spans="5:7" x14ac:dyDescent="0.4">
      <c r="E166" s="22" t="str">
        <f t="shared" si="8"/>
        <v/>
      </c>
      <c r="F166" s="23" t="str">
        <f t="shared" si="9"/>
        <v/>
      </c>
      <c r="G166" s="20" t="str">
        <f>IF(A166&lt;&gt;"",VLOOKUP(A166,Tasks!B:E,4,FALSE),"")</f>
        <v/>
      </c>
    </row>
    <row r="167" spans="5:7" x14ac:dyDescent="0.4">
      <c r="E167" s="22" t="str">
        <f t="shared" si="8"/>
        <v/>
      </c>
      <c r="F167" s="23" t="str">
        <f t="shared" si="9"/>
        <v/>
      </c>
      <c r="G167" s="20" t="str">
        <f>IF(A167&lt;&gt;"",VLOOKUP(A167,Tasks!B:E,4,FALSE),"")</f>
        <v/>
      </c>
    </row>
    <row r="168" spans="5:7" x14ac:dyDescent="0.4">
      <c r="E168" s="22" t="str">
        <f t="shared" si="8"/>
        <v/>
      </c>
      <c r="F168" s="23" t="str">
        <f t="shared" si="9"/>
        <v/>
      </c>
      <c r="G168" s="20" t="str">
        <f>IF(A168&lt;&gt;"",VLOOKUP(A168,Tasks!B:E,4,FALSE),"")</f>
        <v/>
      </c>
    </row>
    <row r="169" spans="5:7" x14ac:dyDescent="0.4">
      <c r="E169" s="22" t="str">
        <f t="shared" si="8"/>
        <v/>
      </c>
      <c r="F169" s="23" t="str">
        <f t="shared" si="9"/>
        <v/>
      </c>
      <c r="G169" s="20" t="str">
        <f>IF(A169&lt;&gt;"",VLOOKUP(A169,Tasks!B:E,4,FALSE),"")</f>
        <v/>
      </c>
    </row>
    <row r="170" spans="5:7" x14ac:dyDescent="0.4">
      <c r="E170" s="22" t="str">
        <f t="shared" si="8"/>
        <v/>
      </c>
      <c r="F170" s="23" t="str">
        <f t="shared" si="9"/>
        <v/>
      </c>
      <c r="G170" s="20" t="str">
        <f>IF(A170&lt;&gt;"",VLOOKUP(A170,Tasks!B:E,4,FALSE),"")</f>
        <v/>
      </c>
    </row>
    <row r="171" spans="5:7" x14ac:dyDescent="0.4">
      <c r="E171" s="22" t="str">
        <f t="shared" si="8"/>
        <v/>
      </c>
      <c r="F171" s="23" t="str">
        <f t="shared" si="9"/>
        <v/>
      </c>
      <c r="G171" s="20" t="str">
        <f>IF(A171&lt;&gt;"",VLOOKUP(A171,Tasks!B:E,4,FALSE),"")</f>
        <v/>
      </c>
    </row>
    <row r="172" spans="5:7" x14ac:dyDescent="0.4">
      <c r="E172" s="22" t="str">
        <f t="shared" si="8"/>
        <v/>
      </c>
      <c r="F172" s="23" t="str">
        <f t="shared" si="9"/>
        <v/>
      </c>
      <c r="G172" s="20" t="str">
        <f>IF(A172&lt;&gt;"",VLOOKUP(A172,Tasks!B:E,4,FALSE),"")</f>
        <v/>
      </c>
    </row>
    <row r="173" spans="5:7" x14ac:dyDescent="0.4">
      <c r="E173" s="22" t="str">
        <f t="shared" si="8"/>
        <v/>
      </c>
      <c r="F173" s="23" t="str">
        <f t="shared" si="9"/>
        <v/>
      </c>
      <c r="G173" s="20" t="str">
        <f>IF(A173&lt;&gt;"",VLOOKUP(A173,Tasks!B:E,4,FALSE),"")</f>
        <v/>
      </c>
    </row>
    <row r="174" spans="5:7" x14ac:dyDescent="0.4">
      <c r="E174" s="22" t="str">
        <f t="shared" si="8"/>
        <v/>
      </c>
      <c r="F174" s="23" t="str">
        <f t="shared" si="9"/>
        <v/>
      </c>
      <c r="G174" s="20" t="str">
        <f>IF(A174&lt;&gt;"",VLOOKUP(A174,Tasks!B:E,4,FALSE),"")</f>
        <v/>
      </c>
    </row>
    <row r="175" spans="5:7" x14ac:dyDescent="0.4">
      <c r="E175" s="22" t="str">
        <f t="shared" si="8"/>
        <v/>
      </c>
      <c r="F175" s="23" t="str">
        <f t="shared" si="9"/>
        <v/>
      </c>
      <c r="G175" s="20" t="str">
        <f>IF(A175&lt;&gt;"",VLOOKUP(A175,Tasks!B:E,4,FALSE),"")</f>
        <v/>
      </c>
    </row>
    <row r="176" spans="5:7" x14ac:dyDescent="0.4">
      <c r="E176" s="22" t="str">
        <f t="shared" si="8"/>
        <v/>
      </c>
      <c r="F176" s="23" t="str">
        <f t="shared" si="9"/>
        <v/>
      </c>
      <c r="G176" s="20" t="str">
        <f>IF(A176&lt;&gt;"",VLOOKUP(A176,Tasks!B:E,4,FALSE),"")</f>
        <v/>
      </c>
    </row>
    <row r="177" spans="5:7" x14ac:dyDescent="0.4">
      <c r="E177" s="22" t="str">
        <f t="shared" si="8"/>
        <v/>
      </c>
      <c r="F177" s="23" t="str">
        <f t="shared" si="9"/>
        <v/>
      </c>
      <c r="G177" s="20" t="str">
        <f>IF(A177&lt;&gt;"",VLOOKUP(A177,Tasks!B:E,4,FALSE),"")</f>
        <v/>
      </c>
    </row>
    <row r="178" spans="5:7" x14ac:dyDescent="0.4">
      <c r="E178" s="22" t="str">
        <f t="shared" si="8"/>
        <v/>
      </c>
      <c r="F178" s="23" t="str">
        <f t="shared" si="9"/>
        <v/>
      </c>
      <c r="G178" s="20" t="str">
        <f>IF(A178&lt;&gt;"",VLOOKUP(A178,Tasks!B:E,4,FALSE),"")</f>
        <v/>
      </c>
    </row>
    <row r="179" spans="5:7" x14ac:dyDescent="0.4">
      <c r="E179" s="22" t="str">
        <f t="shared" si="8"/>
        <v/>
      </c>
      <c r="F179" s="23" t="str">
        <f t="shared" si="9"/>
        <v/>
      </c>
      <c r="G179" s="20" t="str">
        <f>IF(A179&lt;&gt;"",VLOOKUP(A179,Tasks!B:E,4,FALSE),"")</f>
        <v/>
      </c>
    </row>
    <row r="180" spans="5:7" x14ac:dyDescent="0.4">
      <c r="E180" s="22" t="str">
        <f t="shared" si="8"/>
        <v/>
      </c>
      <c r="F180" s="23" t="str">
        <f t="shared" si="9"/>
        <v/>
      </c>
      <c r="G180" s="20" t="str">
        <f>IF(A180&lt;&gt;"",VLOOKUP(A180,Tasks!B:E,4,FALSE),"")</f>
        <v/>
      </c>
    </row>
    <row r="181" spans="5:7" x14ac:dyDescent="0.4">
      <c r="E181" s="22" t="str">
        <f t="shared" si="8"/>
        <v/>
      </c>
      <c r="F181" s="23" t="str">
        <f t="shared" si="9"/>
        <v/>
      </c>
      <c r="G181" s="20" t="str">
        <f>IF(A181&lt;&gt;"",VLOOKUP(A181,Tasks!B:E,4,FALSE),"")</f>
        <v/>
      </c>
    </row>
    <row r="182" spans="5:7" x14ac:dyDescent="0.4">
      <c r="E182" s="22" t="str">
        <f t="shared" si="8"/>
        <v/>
      </c>
      <c r="F182" s="23" t="str">
        <f t="shared" si="9"/>
        <v/>
      </c>
      <c r="G182" s="20" t="str">
        <f>IF(A182&lt;&gt;"",VLOOKUP(A182,Tasks!B:E,4,FALSE),"")</f>
        <v/>
      </c>
    </row>
    <row r="183" spans="5:7" x14ac:dyDescent="0.4">
      <c r="E183" s="22" t="str">
        <f t="shared" si="8"/>
        <v/>
      </c>
      <c r="F183" s="23" t="str">
        <f t="shared" si="9"/>
        <v/>
      </c>
      <c r="G183" s="20" t="str">
        <f>IF(A183&lt;&gt;"",VLOOKUP(A183,Tasks!B:E,4,FALSE),"")</f>
        <v/>
      </c>
    </row>
    <row r="184" spans="5:7" x14ac:dyDescent="0.4">
      <c r="E184" s="22" t="str">
        <f t="shared" si="8"/>
        <v/>
      </c>
      <c r="F184" s="23" t="str">
        <f t="shared" si="9"/>
        <v/>
      </c>
      <c r="G184" s="20" t="str">
        <f>IF(A184&lt;&gt;"",VLOOKUP(A184,Tasks!B:E,4,FALSE),"")</f>
        <v/>
      </c>
    </row>
    <row r="185" spans="5:7" x14ac:dyDescent="0.4">
      <c r="E185" s="22" t="str">
        <f t="shared" si="8"/>
        <v/>
      </c>
      <c r="F185" s="23" t="str">
        <f t="shared" si="9"/>
        <v/>
      </c>
      <c r="G185" s="20" t="str">
        <f>IF(A185&lt;&gt;"",VLOOKUP(A185,Tasks!B:E,4,FALSE),"")</f>
        <v/>
      </c>
    </row>
    <row r="186" spans="5:7" x14ac:dyDescent="0.4">
      <c r="E186" s="22" t="str">
        <f t="shared" si="8"/>
        <v/>
      </c>
      <c r="F186" s="23" t="str">
        <f t="shared" si="9"/>
        <v/>
      </c>
      <c r="G186" s="20" t="str">
        <f>IF(A186&lt;&gt;"",VLOOKUP(A186,Tasks!B:E,4,FALSE),"")</f>
        <v/>
      </c>
    </row>
    <row r="187" spans="5:7" x14ac:dyDescent="0.4">
      <c r="E187" s="22" t="str">
        <f t="shared" si="8"/>
        <v/>
      </c>
      <c r="F187" s="23" t="str">
        <f t="shared" si="9"/>
        <v/>
      </c>
      <c r="G187" s="20" t="str">
        <f>IF(A187&lt;&gt;"",VLOOKUP(A187,Tasks!B:E,4,FALSE),"")</f>
        <v/>
      </c>
    </row>
    <row r="188" spans="5:7" x14ac:dyDescent="0.4">
      <c r="E188" s="22" t="str">
        <f t="shared" si="8"/>
        <v/>
      </c>
      <c r="F188" s="23" t="str">
        <f t="shared" si="9"/>
        <v/>
      </c>
      <c r="G188" s="20" t="str">
        <f>IF(A188&lt;&gt;"",VLOOKUP(A188,Tasks!B:E,4,FALSE),"")</f>
        <v/>
      </c>
    </row>
    <row r="189" spans="5:7" x14ac:dyDescent="0.4">
      <c r="E189" s="22" t="str">
        <f t="shared" si="8"/>
        <v/>
      </c>
      <c r="F189" s="23" t="str">
        <f t="shared" si="9"/>
        <v/>
      </c>
      <c r="G189" s="20" t="str">
        <f>IF(A189&lt;&gt;"",VLOOKUP(A189,Tasks!B:E,4,FALSE),"")</f>
        <v/>
      </c>
    </row>
    <row r="190" spans="5:7" x14ac:dyDescent="0.4">
      <c r="E190" s="22" t="str">
        <f t="shared" si="8"/>
        <v/>
      </c>
      <c r="F190" s="23" t="str">
        <f t="shared" si="9"/>
        <v/>
      </c>
      <c r="G190" s="20" t="str">
        <f>IF(A190&lt;&gt;"",VLOOKUP(A190,Tasks!B:E,4,FALSE),"")</f>
        <v/>
      </c>
    </row>
    <row r="191" spans="5:7" x14ac:dyDescent="0.4">
      <c r="E191" s="22" t="str">
        <f t="shared" si="8"/>
        <v/>
      </c>
      <c r="F191" s="23" t="str">
        <f t="shared" si="9"/>
        <v/>
      </c>
      <c r="G191" s="20" t="str">
        <f>IF(A191&lt;&gt;"",VLOOKUP(A191,Tasks!B:E,4,FALSE),"")</f>
        <v/>
      </c>
    </row>
    <row r="192" spans="5:7" x14ac:dyDescent="0.4">
      <c r="E192" s="22" t="str">
        <f t="shared" si="8"/>
        <v/>
      </c>
      <c r="F192" s="23" t="str">
        <f t="shared" si="9"/>
        <v/>
      </c>
      <c r="G192" s="20" t="str">
        <f>IF(A192&lt;&gt;"",VLOOKUP(A192,Tasks!B:E,4,FALSE),"")</f>
        <v/>
      </c>
    </row>
    <row r="193" spans="5:7" x14ac:dyDescent="0.4">
      <c r="E193" s="22" t="str">
        <f t="shared" si="8"/>
        <v/>
      </c>
      <c r="F193" s="23" t="str">
        <f t="shared" si="9"/>
        <v/>
      </c>
      <c r="G193" s="20" t="str">
        <f>IF(A193&lt;&gt;"",VLOOKUP(A193,Tasks!B:E,4,FALSE),"")</f>
        <v/>
      </c>
    </row>
    <row r="194" spans="5:7" x14ac:dyDescent="0.4">
      <c r="E194" s="22" t="str">
        <f t="shared" si="8"/>
        <v/>
      </c>
      <c r="F194" s="23" t="str">
        <f t="shared" si="9"/>
        <v/>
      </c>
      <c r="G194" s="20" t="str">
        <f>IF(A194&lt;&gt;"",VLOOKUP(A194,Tasks!B:E,4,FALSE),"")</f>
        <v/>
      </c>
    </row>
    <row r="195" spans="5:7" x14ac:dyDescent="0.4">
      <c r="E195" s="22" t="str">
        <f t="shared" si="8"/>
        <v/>
      </c>
      <c r="F195" s="23" t="str">
        <f t="shared" si="9"/>
        <v/>
      </c>
      <c r="G195" s="20" t="str">
        <f>IF(A195&lt;&gt;"",VLOOKUP(A195,Tasks!B:E,4,FALSE),"")</f>
        <v/>
      </c>
    </row>
    <row r="196" spans="5:7" x14ac:dyDescent="0.4">
      <c r="E196" s="22" t="str">
        <f t="shared" si="8"/>
        <v/>
      </c>
      <c r="F196" s="23" t="str">
        <f t="shared" si="9"/>
        <v/>
      </c>
      <c r="G196" s="20" t="str">
        <f>IF(A196&lt;&gt;"",VLOOKUP(A196,Tasks!B:E,4,FALSE),"")</f>
        <v/>
      </c>
    </row>
    <row r="197" spans="5:7" x14ac:dyDescent="0.4">
      <c r="E197" s="22" t="str">
        <f t="shared" si="8"/>
        <v/>
      </c>
      <c r="F197" s="23" t="str">
        <f t="shared" si="9"/>
        <v/>
      </c>
      <c r="G197" s="20" t="str">
        <f>IF(A197&lt;&gt;"",VLOOKUP(A197,Tasks!B:E,4,FALSE),"")</f>
        <v/>
      </c>
    </row>
    <row r="198" spans="5:7" x14ac:dyDescent="0.4">
      <c r="E198" s="22" t="str">
        <f t="shared" si="8"/>
        <v/>
      </c>
      <c r="F198" s="23" t="str">
        <f t="shared" si="9"/>
        <v/>
      </c>
      <c r="G198" s="20" t="str">
        <f>IF(A198&lt;&gt;"",VLOOKUP(A198,Tasks!B:E,4,FALSE),"")</f>
        <v/>
      </c>
    </row>
    <row r="199" spans="5:7" x14ac:dyDescent="0.4">
      <c r="E199" s="22" t="str">
        <f t="shared" si="8"/>
        <v/>
      </c>
      <c r="F199" s="23" t="str">
        <f t="shared" si="9"/>
        <v/>
      </c>
      <c r="G199" s="20" t="str">
        <f>IF(A199&lt;&gt;"",VLOOKUP(A199,Tasks!B:E,4,FALSE),"")</f>
        <v/>
      </c>
    </row>
    <row r="200" spans="5:7" x14ac:dyDescent="0.4">
      <c r="E200" s="22" t="str">
        <f t="shared" si="8"/>
        <v/>
      </c>
      <c r="F200" s="23" t="str">
        <f t="shared" si="9"/>
        <v/>
      </c>
      <c r="G200" s="20" t="str">
        <f>IF(A200&lt;&gt;"",VLOOKUP(A200,Tasks!B:E,4,FALSE),"")</f>
        <v/>
      </c>
    </row>
  </sheetData>
  <autoFilter ref="A2:G46" xr:uid="{494F4E79-018F-4F8E-91D2-4FE85299B1E6}"/>
  <phoneticPr fontId="2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5B387-ABC8-4BC5-B80E-7D762F244137}">
  <sheetPr codeName="Sheet2"/>
  <dimension ref="A1:M99"/>
  <sheetViews>
    <sheetView tabSelected="1" workbookViewId="0">
      <pane ySplit="2" topLeftCell="A3" activePane="bottomLeft" state="frozen"/>
      <selection pane="bottomLeft" activeCell="A2" sqref="A2"/>
    </sheetView>
  </sheetViews>
  <sheetFormatPr defaultRowHeight="12" x14ac:dyDescent="0.4"/>
  <cols>
    <col min="1" max="1" width="6.625" style="8" bestFit="1" customWidth="1"/>
    <col min="2" max="3" width="8.25" style="8" bestFit="1" customWidth="1"/>
    <col min="4" max="4" width="14.75" style="20" bestFit="1" customWidth="1"/>
    <col min="5" max="5" width="15.5" style="20" bestFit="1" customWidth="1"/>
    <col min="6" max="6" width="8" style="8" bestFit="1" customWidth="1"/>
    <col min="7" max="7" width="7.75" style="8" bestFit="1" customWidth="1"/>
    <col min="8" max="8" width="7.75" style="21" bestFit="1" customWidth="1"/>
    <col min="9" max="9" width="5" style="21" bestFit="1" customWidth="1"/>
    <col min="10" max="10" width="5" style="8" customWidth="1"/>
    <col min="11" max="11" width="29.625" style="8" bestFit="1" customWidth="1"/>
    <col min="12" max="16384" width="9" style="8"/>
  </cols>
  <sheetData>
    <row r="1" spans="1:13" ht="39.75" customHeight="1" x14ac:dyDescent="0.4">
      <c r="D1" s="19" t="s">
        <v>131</v>
      </c>
      <c r="E1" s="19"/>
      <c r="H1" s="8"/>
      <c r="I1" s="8"/>
    </row>
    <row r="2" spans="1:13" x14ac:dyDescent="0.4">
      <c r="A2" s="8" t="s">
        <v>116</v>
      </c>
      <c r="B2" s="8" t="s">
        <v>106</v>
      </c>
      <c r="C2" s="8" t="s">
        <v>0</v>
      </c>
      <c r="D2" s="20" t="s">
        <v>112</v>
      </c>
      <c r="E2" s="20" t="s">
        <v>107</v>
      </c>
      <c r="F2" s="9" t="s">
        <v>108</v>
      </c>
      <c r="G2" s="9" t="s">
        <v>114</v>
      </c>
      <c r="H2" s="20" t="s">
        <v>115</v>
      </c>
      <c r="I2" s="21" t="s">
        <v>117</v>
      </c>
      <c r="L2" s="9"/>
      <c r="M2" s="9"/>
    </row>
    <row r="3" spans="1:13" x14ac:dyDescent="0.4">
      <c r="A3" s="11" t="s">
        <v>137</v>
      </c>
      <c r="B3" s="8">
        <v>1</v>
      </c>
      <c r="C3" s="8">
        <v>1</v>
      </c>
      <c r="D3" s="20" t="str">
        <f>IF(C3&lt;&gt;"",VLOOKUP(C3,Projects!A:C,3,FALSE),"")</f>
        <v>Sample Project</v>
      </c>
      <c r="E3" s="20" t="s">
        <v>133</v>
      </c>
      <c r="F3" s="8">
        <v>3</v>
      </c>
      <c r="G3" s="8">
        <v>0.2</v>
      </c>
      <c r="H3" s="22">
        <f ca="1">IF(SUMIF(TimeSheet!A:E,Tasks!B3,TimeSheet!E:E)&gt;0,ROUNDUP(SUMIF(TimeSheet!A:E,Tasks!B3,TimeSheet!E:E),2),"")</f>
        <v>0.25</v>
      </c>
      <c r="I3" s="22">
        <f t="shared" ref="I3:I43" ca="1" si="0">IF(H3&lt;&gt;"",ROUNDUP(G3/H3,2),"")</f>
        <v>0.8</v>
      </c>
    </row>
    <row r="4" spans="1:13" ht="24" x14ac:dyDescent="0.4">
      <c r="A4" s="11" t="s">
        <v>137</v>
      </c>
      <c r="B4" s="8">
        <v>2</v>
      </c>
      <c r="C4" s="8">
        <v>1</v>
      </c>
      <c r="D4" s="20" t="str">
        <f>IF(C4&lt;&gt;"",VLOOKUP(C4,Projects!A:C,3,FALSE),"")</f>
        <v>Sample Project</v>
      </c>
      <c r="E4" s="20" t="s">
        <v>136</v>
      </c>
      <c r="F4" s="8">
        <v>3</v>
      </c>
      <c r="G4" s="8">
        <v>0.25</v>
      </c>
      <c r="H4" s="22">
        <f ca="1">IF(SUMIF(TimeSheet!A:E,Tasks!B4,TimeSheet!E:E)&gt;0,ROUNDUP(SUMIF(TimeSheet!A:E,Tasks!B4,TimeSheet!E:E),2),"")</f>
        <v>0.17</v>
      </c>
      <c r="I4" s="22">
        <f t="shared" ca="1" si="0"/>
        <v>1.48</v>
      </c>
    </row>
    <row r="5" spans="1:13" ht="24" x14ac:dyDescent="0.4">
      <c r="A5" s="11"/>
      <c r="B5" s="8">
        <v>3</v>
      </c>
      <c r="C5" s="8">
        <v>1</v>
      </c>
      <c r="D5" s="20" t="str">
        <f>IF(C5&lt;&gt;"",VLOOKUP(C5,Projects!A:C,3,FALSE),"")</f>
        <v>Sample Project</v>
      </c>
      <c r="E5" s="20" t="s">
        <v>138</v>
      </c>
      <c r="F5" s="8">
        <v>3</v>
      </c>
      <c r="G5" s="8">
        <v>0.5</v>
      </c>
      <c r="H5" s="22">
        <f ca="1">IF(SUMIF(TimeSheet!A:E,Tasks!B5,TimeSheet!E:E)&gt;0,ROUNDUP(SUMIF(TimeSheet!A:E,Tasks!B5,TimeSheet!E:E),2),"")</f>
        <v>0.09</v>
      </c>
      <c r="I5" s="22">
        <f t="shared" ca="1" si="0"/>
        <v>5.56</v>
      </c>
    </row>
    <row r="6" spans="1:13" x14ac:dyDescent="0.4">
      <c r="A6" s="11"/>
      <c r="D6" s="20" t="str">
        <f>IF(C6&lt;&gt;"",VLOOKUP(C6,Projects!A:C,3,FALSE),"")</f>
        <v/>
      </c>
      <c r="H6" s="22" t="str">
        <f ca="1">IF(SUMIF(TimeSheet!A:E,Tasks!B6,TimeSheet!E:E)&gt;0,ROUNDUP(SUMIF(TimeSheet!A:E,Tasks!B6,TimeSheet!E:E),2),"")</f>
        <v/>
      </c>
      <c r="I6" s="22" t="str">
        <f t="shared" ca="1" si="0"/>
        <v/>
      </c>
    </row>
    <row r="7" spans="1:13" x14ac:dyDescent="0.4">
      <c r="A7" s="11"/>
      <c r="D7" s="20" t="str">
        <f>IF(C7&lt;&gt;"",VLOOKUP(C7,Projects!A:C,3,FALSE),"")</f>
        <v/>
      </c>
      <c r="H7" s="22" t="str">
        <f ca="1">IF(SUMIF(TimeSheet!A:E,Tasks!B7,TimeSheet!E:E)&gt;0,ROUNDUP(SUMIF(TimeSheet!A:E,Tasks!B7,TimeSheet!E:E),2),"")</f>
        <v/>
      </c>
      <c r="I7" s="22" t="str">
        <f t="shared" ca="1" si="0"/>
        <v/>
      </c>
    </row>
    <row r="8" spans="1:13" x14ac:dyDescent="0.4">
      <c r="A8" s="11"/>
      <c r="D8" s="20" t="str">
        <f>IF(C8&lt;&gt;"",VLOOKUP(C8,Projects!A:C,3,FALSE),"")</f>
        <v/>
      </c>
      <c r="H8" s="22" t="str">
        <f ca="1">IF(SUMIF(TimeSheet!A:E,Tasks!B8,TimeSheet!E:E)&gt;0,ROUNDUP(SUMIF(TimeSheet!A:E,Tasks!B8,TimeSheet!E:E),2),"")</f>
        <v/>
      </c>
      <c r="I8" s="22" t="str">
        <f t="shared" ca="1" si="0"/>
        <v/>
      </c>
    </row>
    <row r="9" spans="1:13" x14ac:dyDescent="0.4">
      <c r="A9" s="11"/>
      <c r="D9" s="20" t="str">
        <f>IF(C9&lt;&gt;"",VLOOKUP(C9,Projects!A:C,3,FALSE),"")</f>
        <v/>
      </c>
      <c r="H9" s="22" t="str">
        <f ca="1">IF(SUMIF(TimeSheet!A:E,Tasks!B9,TimeSheet!E:E)&gt;0,ROUNDUP(SUMIF(TimeSheet!A:E,Tasks!B9,TimeSheet!E:E),2),"")</f>
        <v/>
      </c>
      <c r="I9" s="22" t="str">
        <f t="shared" ca="1" si="0"/>
        <v/>
      </c>
    </row>
    <row r="10" spans="1:13" x14ac:dyDescent="0.4">
      <c r="A10" s="11"/>
      <c r="D10" s="20" t="str">
        <f>IF(C10&lt;&gt;"",VLOOKUP(C10,Projects!A:C,3,FALSE),"")</f>
        <v/>
      </c>
      <c r="H10" s="22" t="str">
        <f ca="1">IF(SUMIF(TimeSheet!A:E,Tasks!B10,TimeSheet!E:E)&gt;0,ROUNDUP(SUMIF(TimeSheet!A:E,Tasks!B10,TimeSheet!E:E),2),"")</f>
        <v/>
      </c>
      <c r="I10" s="22" t="str">
        <f t="shared" ca="1" si="0"/>
        <v/>
      </c>
    </row>
    <row r="11" spans="1:13" x14ac:dyDescent="0.4">
      <c r="A11" s="11"/>
      <c r="D11" s="20" t="str">
        <f>IF(C11&lt;&gt;"",VLOOKUP(C11,Projects!A:C,3,FALSE),"")</f>
        <v/>
      </c>
      <c r="H11" s="22" t="str">
        <f ca="1">IF(SUMIF(TimeSheet!A:E,Tasks!B11,TimeSheet!E:E)&gt;0,ROUNDUP(SUMIF(TimeSheet!A:E,Tasks!B11,TimeSheet!E:E),2),"")</f>
        <v/>
      </c>
      <c r="I11" s="22" t="str">
        <f t="shared" ca="1" si="0"/>
        <v/>
      </c>
    </row>
    <row r="12" spans="1:13" x14ac:dyDescent="0.4">
      <c r="A12" s="11"/>
      <c r="D12" s="20" t="str">
        <f>IF(C12&lt;&gt;"",VLOOKUP(C12,Projects!A:C,3,FALSE),"")</f>
        <v/>
      </c>
      <c r="H12" s="22" t="str">
        <f ca="1">IF(SUMIF(TimeSheet!A:E,Tasks!B12,TimeSheet!E:E)&gt;0,ROUNDUP(SUMIF(TimeSheet!A:E,Tasks!B12,TimeSheet!E:E),2),"")</f>
        <v/>
      </c>
      <c r="I12" s="22" t="str">
        <f t="shared" ca="1" si="0"/>
        <v/>
      </c>
    </row>
    <row r="13" spans="1:13" x14ac:dyDescent="0.4">
      <c r="A13" s="11"/>
      <c r="D13" s="20" t="str">
        <f>IF(C13&lt;&gt;"",VLOOKUP(C13,Projects!A:C,3,FALSE),"")</f>
        <v/>
      </c>
      <c r="H13" s="22" t="str">
        <f ca="1">IF(SUMIF(TimeSheet!A:E,Tasks!B13,TimeSheet!E:E)&gt;0,ROUNDUP(SUMIF(TimeSheet!A:E,Tasks!B13,TimeSheet!E:E),2),"")</f>
        <v/>
      </c>
      <c r="I13" s="22" t="str">
        <f t="shared" ca="1" si="0"/>
        <v/>
      </c>
    </row>
    <row r="14" spans="1:13" x14ac:dyDescent="0.4">
      <c r="A14" s="11"/>
      <c r="D14" s="20" t="str">
        <f>IF(C14&lt;&gt;"",VLOOKUP(C14,Projects!A:C,3,FALSE),"")</f>
        <v/>
      </c>
      <c r="H14" s="22" t="str">
        <f ca="1">IF(SUMIF(TimeSheet!A:E,Tasks!B14,TimeSheet!E:E)&gt;0,ROUNDUP(SUMIF(TimeSheet!A:E,Tasks!B14,TimeSheet!E:E),2),"")</f>
        <v/>
      </c>
      <c r="I14" s="22" t="str">
        <f t="shared" ca="1" si="0"/>
        <v/>
      </c>
    </row>
    <row r="15" spans="1:13" x14ac:dyDescent="0.4">
      <c r="A15" s="11"/>
      <c r="D15" s="20" t="str">
        <f>IF(C15&lt;&gt;"",VLOOKUP(C15,Projects!A:C,3,FALSE),"")</f>
        <v/>
      </c>
      <c r="H15" s="22" t="str">
        <f ca="1">IF(SUMIF(TimeSheet!A:E,Tasks!B15,TimeSheet!E:E)&gt;0,ROUNDUP(SUMIF(TimeSheet!A:E,Tasks!B15,TimeSheet!E:E),2),"")</f>
        <v/>
      </c>
      <c r="I15" s="22" t="str">
        <f t="shared" ca="1" si="0"/>
        <v/>
      </c>
    </row>
    <row r="16" spans="1:13" x14ac:dyDescent="0.4">
      <c r="A16" s="11"/>
      <c r="D16" s="20" t="str">
        <f>IF(C16&lt;&gt;"",VLOOKUP(C16,Projects!A:C,3,FALSE),"")</f>
        <v/>
      </c>
      <c r="H16" s="22" t="str">
        <f ca="1">IF(SUMIF(TimeSheet!A:E,Tasks!B16,TimeSheet!E:E)&gt;0,ROUNDUP(SUMIF(TimeSheet!A:E,Tasks!B16,TimeSheet!E:E),2),"")</f>
        <v/>
      </c>
      <c r="I16" s="22" t="str">
        <f t="shared" ca="1" si="0"/>
        <v/>
      </c>
    </row>
    <row r="17" spans="1:9" x14ac:dyDescent="0.4">
      <c r="A17" s="11"/>
      <c r="D17" s="20" t="str">
        <f>IF(C17&lt;&gt;"",VLOOKUP(C17,Projects!A:C,3,FALSE),"")</f>
        <v/>
      </c>
      <c r="H17" s="22" t="str">
        <f ca="1">IF(SUMIF(TimeSheet!A:E,Tasks!B17,TimeSheet!E:E)&gt;0,ROUNDUP(SUMIF(TimeSheet!A:E,Tasks!B17,TimeSheet!E:E),2),"")</f>
        <v/>
      </c>
      <c r="I17" s="22" t="str">
        <f t="shared" ca="1" si="0"/>
        <v/>
      </c>
    </row>
    <row r="18" spans="1:9" x14ac:dyDescent="0.4">
      <c r="A18" s="11"/>
      <c r="D18" s="20" t="str">
        <f>IF(C18&lt;&gt;"",VLOOKUP(C18,Projects!A:C,3,FALSE),"")</f>
        <v/>
      </c>
      <c r="H18" s="22" t="str">
        <f ca="1">IF(SUMIF(TimeSheet!A:E,Tasks!B18,TimeSheet!E:E)&gt;0,ROUNDUP(SUMIF(TimeSheet!A:E,Tasks!B18,TimeSheet!E:E),2),"")</f>
        <v/>
      </c>
      <c r="I18" s="22" t="str">
        <f t="shared" ca="1" si="0"/>
        <v/>
      </c>
    </row>
    <row r="19" spans="1:9" x14ac:dyDescent="0.4">
      <c r="A19" s="11"/>
      <c r="D19" s="20" t="str">
        <f>IF(C19&lt;&gt;"",VLOOKUP(C19,Projects!A:C,3,FALSE),"")</f>
        <v/>
      </c>
      <c r="H19" s="22" t="str">
        <f ca="1">IF(SUMIF(TimeSheet!A:E,Tasks!B19,TimeSheet!E:E)&gt;0,ROUNDUP(SUMIF(TimeSheet!A:E,Tasks!B19,TimeSheet!E:E),2),"")</f>
        <v/>
      </c>
      <c r="I19" s="22" t="str">
        <f t="shared" ca="1" si="0"/>
        <v/>
      </c>
    </row>
    <row r="20" spans="1:9" x14ac:dyDescent="0.4">
      <c r="A20" s="11"/>
      <c r="D20" s="20" t="str">
        <f>IF(C20&lt;&gt;"",VLOOKUP(C20,Projects!A:C,3,FALSE),"")</f>
        <v/>
      </c>
      <c r="H20" s="22" t="str">
        <f ca="1">IF(SUMIF(TimeSheet!A:E,Tasks!B20,TimeSheet!E:E)&gt;0,ROUNDUP(SUMIF(TimeSheet!A:E,Tasks!B20,TimeSheet!E:E),2),"")</f>
        <v/>
      </c>
      <c r="I20" s="22" t="str">
        <f t="shared" ca="1" si="0"/>
        <v/>
      </c>
    </row>
    <row r="21" spans="1:9" x14ac:dyDescent="0.4">
      <c r="A21" s="11"/>
      <c r="D21" s="20" t="str">
        <f>IF(C21&lt;&gt;"",VLOOKUP(C21,Projects!A:C,3,FALSE),"")</f>
        <v/>
      </c>
      <c r="H21" s="22" t="str">
        <f ca="1">IF(SUMIF(TimeSheet!A:E,Tasks!B21,TimeSheet!E:E)&gt;0,ROUNDUP(SUMIF(TimeSheet!A:E,Tasks!B21,TimeSheet!E:E),2),"")</f>
        <v/>
      </c>
      <c r="I21" s="22" t="str">
        <f t="shared" ca="1" si="0"/>
        <v/>
      </c>
    </row>
    <row r="22" spans="1:9" x14ac:dyDescent="0.4">
      <c r="A22" s="11"/>
      <c r="D22" s="20" t="str">
        <f>IF(C22&lt;&gt;"",VLOOKUP(C22,Projects!A:C,3,FALSE),"")</f>
        <v/>
      </c>
      <c r="H22" s="22" t="str">
        <f ca="1">IF(SUMIF(TimeSheet!A:E,Tasks!B22,TimeSheet!E:E)&gt;0,ROUNDUP(SUMIF(TimeSheet!A:E,Tasks!B22,TimeSheet!E:E),2),"")</f>
        <v/>
      </c>
      <c r="I22" s="22" t="str">
        <f t="shared" ca="1" si="0"/>
        <v/>
      </c>
    </row>
    <row r="23" spans="1:9" x14ac:dyDescent="0.4">
      <c r="A23" s="11"/>
      <c r="D23" s="20" t="str">
        <f>IF(C23&lt;&gt;"",VLOOKUP(C23,Projects!A:C,3,FALSE),"")</f>
        <v/>
      </c>
      <c r="H23" s="22" t="str">
        <f ca="1">IF(SUMIF(TimeSheet!A:E,Tasks!B23,TimeSheet!E:E)&gt;0,ROUNDUP(SUMIF(TimeSheet!A:E,Tasks!B23,TimeSheet!E:E),2),"")</f>
        <v/>
      </c>
      <c r="I23" s="22" t="str">
        <f t="shared" ca="1" si="0"/>
        <v/>
      </c>
    </row>
    <row r="24" spans="1:9" x14ac:dyDescent="0.4">
      <c r="A24" s="11"/>
      <c r="D24" s="20" t="str">
        <f>IF(C24&lt;&gt;"",VLOOKUP(C24,Projects!A:C,3,FALSE),"")</f>
        <v/>
      </c>
      <c r="H24" s="22" t="str">
        <f ca="1">IF(SUMIF(TimeSheet!A:E,Tasks!B24,TimeSheet!E:E)&gt;0,ROUNDUP(SUMIF(TimeSheet!A:E,Tasks!B24,TimeSheet!E:E),2),"")</f>
        <v/>
      </c>
      <c r="I24" s="22" t="str">
        <f t="shared" ca="1" si="0"/>
        <v/>
      </c>
    </row>
    <row r="25" spans="1:9" x14ac:dyDescent="0.4">
      <c r="A25" s="11"/>
      <c r="D25" s="20" t="str">
        <f>IF(C25&lt;&gt;"",VLOOKUP(C25,Projects!A:C,3,FALSE),"")</f>
        <v/>
      </c>
      <c r="H25" s="22" t="str">
        <f ca="1">IF(SUMIF(TimeSheet!A:E,Tasks!B25,TimeSheet!E:E)&gt;0,ROUNDUP(SUMIF(TimeSheet!A:E,Tasks!B25,TimeSheet!E:E),2),"")</f>
        <v/>
      </c>
      <c r="I25" s="22" t="str">
        <f t="shared" ca="1" si="0"/>
        <v/>
      </c>
    </row>
    <row r="26" spans="1:9" x14ac:dyDescent="0.4">
      <c r="A26" s="11"/>
      <c r="D26" s="20" t="str">
        <f>IF(C26&lt;&gt;"",VLOOKUP(C26,Projects!A:C,3,FALSE),"")</f>
        <v/>
      </c>
      <c r="H26" s="22" t="str">
        <f ca="1">IF(SUMIF(TimeSheet!A:E,Tasks!B26,TimeSheet!E:E)&gt;0,ROUNDUP(SUMIF(TimeSheet!A:E,Tasks!B26,TimeSheet!E:E),2),"")</f>
        <v/>
      </c>
      <c r="I26" s="22" t="str">
        <f t="shared" ca="1" si="0"/>
        <v/>
      </c>
    </row>
    <row r="27" spans="1:9" x14ac:dyDescent="0.4">
      <c r="A27" s="11"/>
      <c r="D27" s="20" t="str">
        <f>IF(C27&lt;&gt;"",VLOOKUP(C27,Projects!A:C,3,FALSE),"")</f>
        <v/>
      </c>
      <c r="H27" s="22" t="str">
        <f ca="1">IF(SUMIF(TimeSheet!A:E,Tasks!B27,TimeSheet!E:E)&gt;0,ROUNDUP(SUMIF(TimeSheet!A:E,Tasks!B27,TimeSheet!E:E),2),"")</f>
        <v/>
      </c>
      <c r="I27" s="22" t="str">
        <f t="shared" ca="1" si="0"/>
        <v/>
      </c>
    </row>
    <row r="28" spans="1:9" x14ac:dyDescent="0.4">
      <c r="A28" s="11"/>
      <c r="D28" s="20" t="str">
        <f>IF(C28&lt;&gt;"",VLOOKUP(C28,Projects!A:C,3,FALSE),"")</f>
        <v/>
      </c>
      <c r="H28" s="22" t="str">
        <f ca="1">IF(SUMIF(TimeSheet!A:E,Tasks!B28,TimeSheet!E:E)&gt;0,ROUNDUP(SUMIF(TimeSheet!A:E,Tasks!B28,TimeSheet!E:E),2),"")</f>
        <v/>
      </c>
      <c r="I28" s="22" t="str">
        <f t="shared" ca="1" si="0"/>
        <v/>
      </c>
    </row>
    <row r="29" spans="1:9" x14ac:dyDescent="0.4">
      <c r="A29" s="11"/>
      <c r="D29" s="20" t="str">
        <f>IF(C29&lt;&gt;"",VLOOKUP(C29,Projects!A:C,3,FALSE),"")</f>
        <v/>
      </c>
      <c r="H29" s="22" t="str">
        <f ca="1">IF(SUMIF(TimeSheet!A:E,Tasks!B29,TimeSheet!E:E)&gt;0,ROUNDUP(SUMIF(TimeSheet!A:E,Tasks!B29,TimeSheet!E:E),2),"")</f>
        <v/>
      </c>
      <c r="I29" s="22" t="str">
        <f t="shared" ca="1" si="0"/>
        <v/>
      </c>
    </row>
    <row r="30" spans="1:9" x14ac:dyDescent="0.4">
      <c r="A30" s="11"/>
      <c r="D30" s="20" t="str">
        <f>IF(C30&lt;&gt;"",VLOOKUP(C30,Projects!A:C,3,FALSE),"")</f>
        <v/>
      </c>
      <c r="H30" s="22" t="str">
        <f ca="1">IF(SUMIF(TimeSheet!A:E,Tasks!B30,TimeSheet!E:E)&gt;0,ROUNDUP(SUMIF(TimeSheet!A:E,Tasks!B30,TimeSheet!E:E),2),"")</f>
        <v/>
      </c>
      <c r="I30" s="22" t="str">
        <f t="shared" ca="1" si="0"/>
        <v/>
      </c>
    </row>
    <row r="31" spans="1:9" x14ac:dyDescent="0.4">
      <c r="A31" s="11"/>
      <c r="D31" s="20" t="str">
        <f>IF(C31&lt;&gt;"",VLOOKUP(C31,Projects!A:C,3,FALSE),"")</f>
        <v/>
      </c>
      <c r="H31" s="22" t="str">
        <f ca="1">IF(SUMIF(TimeSheet!A:E,Tasks!B31,TimeSheet!E:E)&gt;0,ROUNDUP(SUMIF(TimeSheet!A:E,Tasks!B31,TimeSheet!E:E),2),"")</f>
        <v/>
      </c>
      <c r="I31" s="22" t="str">
        <f t="shared" ca="1" si="0"/>
        <v/>
      </c>
    </row>
    <row r="32" spans="1:9" x14ac:dyDescent="0.4">
      <c r="A32" s="11"/>
      <c r="D32" s="20" t="str">
        <f>IF(C32&lt;&gt;"",VLOOKUP(C32,Projects!A:C,3,FALSE),"")</f>
        <v/>
      </c>
      <c r="H32" s="22" t="str">
        <f ca="1">IF(SUMIF(TimeSheet!A:E,Tasks!B32,TimeSheet!E:E)&gt;0,ROUNDUP(SUMIF(TimeSheet!A:E,Tasks!B32,TimeSheet!E:E),2),"")</f>
        <v/>
      </c>
      <c r="I32" s="22" t="str">
        <f t="shared" ca="1" si="0"/>
        <v/>
      </c>
    </row>
    <row r="33" spans="1:9" x14ac:dyDescent="0.4">
      <c r="A33" s="11"/>
      <c r="D33" s="20" t="str">
        <f>IF(C33&lt;&gt;"",VLOOKUP(C33,Projects!A:C,3,FALSE),"")</f>
        <v/>
      </c>
      <c r="H33" s="22" t="str">
        <f ca="1">IF(SUMIF(TimeSheet!A:E,Tasks!B33,TimeSheet!E:E)&gt;0,ROUNDUP(SUMIF(TimeSheet!A:E,Tasks!B33,TimeSheet!E:E),2),"")</f>
        <v/>
      </c>
      <c r="I33" s="22" t="str">
        <f t="shared" ca="1" si="0"/>
        <v/>
      </c>
    </row>
    <row r="34" spans="1:9" x14ac:dyDescent="0.4">
      <c r="A34" s="11"/>
      <c r="D34" s="20" t="str">
        <f>IF(C34&lt;&gt;"",VLOOKUP(C34,Projects!A:C,3,FALSE),"")</f>
        <v/>
      </c>
      <c r="H34" s="22" t="str">
        <f ca="1">IF(SUMIF(TimeSheet!A:E,Tasks!B34,TimeSheet!E:E)&gt;0,ROUNDUP(SUMIF(TimeSheet!A:E,Tasks!B34,TimeSheet!E:E),2),"")</f>
        <v/>
      </c>
      <c r="I34" s="22" t="str">
        <f t="shared" ca="1" si="0"/>
        <v/>
      </c>
    </row>
    <row r="35" spans="1:9" x14ac:dyDescent="0.4">
      <c r="A35" s="11"/>
      <c r="D35" s="20" t="str">
        <f>IF(C35&lt;&gt;"",VLOOKUP(C35,Projects!A:C,3,FALSE),"")</f>
        <v/>
      </c>
      <c r="H35" s="22" t="str">
        <f ca="1">IF(SUMIF(TimeSheet!A:E,Tasks!B35,TimeSheet!E:E)&gt;0,ROUNDUP(SUMIF(TimeSheet!A:E,Tasks!B35,TimeSheet!E:E),2),"")</f>
        <v/>
      </c>
      <c r="I35" s="22" t="str">
        <f t="shared" ca="1" si="0"/>
        <v/>
      </c>
    </row>
    <row r="36" spans="1:9" x14ac:dyDescent="0.4">
      <c r="A36" s="11"/>
      <c r="D36" s="20" t="str">
        <f>IF(C36&lt;&gt;"",VLOOKUP(C36,Projects!A:C,3,FALSE),"")</f>
        <v/>
      </c>
      <c r="H36" s="22" t="str">
        <f ca="1">IF(SUMIF(TimeSheet!A:E,Tasks!B36,TimeSheet!E:E)&gt;0,ROUNDUP(SUMIF(TimeSheet!A:E,Tasks!B36,TimeSheet!E:E),2),"")</f>
        <v/>
      </c>
      <c r="I36" s="22" t="str">
        <f t="shared" ca="1" si="0"/>
        <v/>
      </c>
    </row>
    <row r="37" spans="1:9" x14ac:dyDescent="0.4">
      <c r="A37" s="11"/>
      <c r="D37" s="20" t="str">
        <f>IF(C37&lt;&gt;"",VLOOKUP(C37,Projects!A:C,3,FALSE),"")</f>
        <v/>
      </c>
      <c r="H37" s="22" t="str">
        <f ca="1">IF(SUMIF(TimeSheet!A:E,Tasks!B37,TimeSheet!E:E)&gt;0,ROUNDUP(SUMIF(TimeSheet!A:E,Tasks!B37,TimeSheet!E:E),2),"")</f>
        <v/>
      </c>
      <c r="I37" s="22" t="str">
        <f t="shared" ca="1" si="0"/>
        <v/>
      </c>
    </row>
    <row r="38" spans="1:9" x14ac:dyDescent="0.4">
      <c r="A38" s="11"/>
      <c r="D38" s="20" t="str">
        <f>IF(C38&lt;&gt;"",VLOOKUP(C38,Projects!A:C,3,FALSE),"")</f>
        <v/>
      </c>
      <c r="H38" s="22" t="str">
        <f ca="1">IF(SUMIF(TimeSheet!A:E,Tasks!B38,TimeSheet!E:E)&gt;0,ROUNDUP(SUMIF(TimeSheet!A:E,Tasks!B38,TimeSheet!E:E),2),"")</f>
        <v/>
      </c>
      <c r="I38" s="22" t="str">
        <f t="shared" ca="1" si="0"/>
        <v/>
      </c>
    </row>
    <row r="39" spans="1:9" x14ac:dyDescent="0.4">
      <c r="A39" s="11"/>
      <c r="D39" s="20" t="str">
        <f>IF(C39&lt;&gt;"",VLOOKUP(C39,Projects!A:C,3,FALSE),"")</f>
        <v/>
      </c>
      <c r="H39" s="22" t="str">
        <f ca="1">IF(SUMIF(TimeSheet!A:E,Tasks!B39,TimeSheet!E:E)&gt;0,ROUNDUP(SUMIF(TimeSheet!A:E,Tasks!B39,TimeSheet!E:E),2),"")</f>
        <v/>
      </c>
      <c r="I39" s="22" t="str">
        <f t="shared" ref="I39" ca="1" si="1">IF(H39&lt;&gt;"",ROUNDUP(G39/H39,2),"")</f>
        <v/>
      </c>
    </row>
    <row r="40" spans="1:9" x14ac:dyDescent="0.4">
      <c r="A40" s="11"/>
      <c r="D40" s="20" t="str">
        <f>IF(C40&lt;&gt;"",VLOOKUP(C40,Projects!A:C,3,FALSE),"")</f>
        <v/>
      </c>
      <c r="H40" s="22" t="str">
        <f ca="1">IF(SUMIF(TimeSheet!A:E,Tasks!B40,TimeSheet!E:E)&gt;0,ROUNDUP(SUMIF(TimeSheet!A:E,Tasks!B40,TimeSheet!E:E),2),"")</f>
        <v/>
      </c>
      <c r="I40" s="22" t="str">
        <f t="shared" ref="I40" ca="1" si="2">IF(H40&lt;&gt;"",ROUNDUP(G40/H40,2),"")</f>
        <v/>
      </c>
    </row>
    <row r="41" spans="1:9" x14ac:dyDescent="0.4">
      <c r="A41" s="11"/>
      <c r="D41" s="20" t="str">
        <f>IF(C41&lt;&gt;"",VLOOKUP(C41,Projects!A:C,3,FALSE),"")</f>
        <v/>
      </c>
      <c r="H41" s="22" t="str">
        <f ca="1">IF(SUMIF(TimeSheet!A:E,Tasks!B41,TimeSheet!E:E)&gt;0,ROUNDUP(SUMIF(TimeSheet!A:E,Tasks!B41,TimeSheet!E:E),2),"")</f>
        <v/>
      </c>
      <c r="I41" s="22" t="str">
        <f ca="1">IF(H41&lt;&gt;"",ROUNDUP(G41/H41,2),"")</f>
        <v/>
      </c>
    </row>
    <row r="42" spans="1:9" x14ac:dyDescent="0.4">
      <c r="A42" s="11"/>
      <c r="D42" s="20" t="str">
        <f>IF(C42&lt;&gt;"",VLOOKUP(C42,Projects!A:C,3,FALSE),"")</f>
        <v/>
      </c>
      <c r="H42" s="22" t="str">
        <f ca="1">IF(SUMIF(TimeSheet!A:E,Tasks!B42,TimeSheet!E:E)&gt;0,ROUNDUP(SUMIF(TimeSheet!A:E,Tasks!B42,TimeSheet!E:E),2),"")</f>
        <v/>
      </c>
      <c r="I42" s="22" t="str">
        <f t="shared" ca="1" si="0"/>
        <v/>
      </c>
    </row>
    <row r="43" spans="1:9" x14ac:dyDescent="0.4">
      <c r="A43" s="11"/>
      <c r="D43" s="20" t="str">
        <f>IF(C43&lt;&gt;"",VLOOKUP(C43,Projects!A:C,3,FALSE),"")</f>
        <v/>
      </c>
      <c r="H43" s="22" t="str">
        <f ca="1">IF(SUMIF(TimeSheet!A:E,Tasks!B43,TimeSheet!E:E)&gt;0,ROUNDUP(SUMIF(TimeSheet!A:E,Tasks!B43,TimeSheet!E:E),2),"")</f>
        <v/>
      </c>
      <c r="I43" s="22" t="str">
        <f t="shared" ca="1" si="0"/>
        <v/>
      </c>
    </row>
    <row r="44" spans="1:9" x14ac:dyDescent="0.4">
      <c r="A44" s="11"/>
      <c r="D44" s="20" t="str">
        <f>IF(C44&lt;&gt;"",VLOOKUP(C44,Projects!A:C,3,FALSE),"")</f>
        <v/>
      </c>
      <c r="H44" s="22" t="str">
        <f ca="1">IF(SUMIF(TimeSheet!A:E,Tasks!B44,TimeSheet!E:E)&gt;0,ROUNDUP(SUMIF(TimeSheet!A:E,Tasks!B44,TimeSheet!E:E),2),"")</f>
        <v/>
      </c>
      <c r="I44" s="22" t="str">
        <f t="shared" ref="I44:I99" ca="1" si="3">IF(H44&lt;&gt;"",ROUNDUP(G44/H44,2),"")</f>
        <v/>
      </c>
    </row>
    <row r="45" spans="1:9" x14ac:dyDescent="0.4">
      <c r="A45" s="11"/>
      <c r="D45" s="20" t="str">
        <f>IF(C45&lt;&gt;"",VLOOKUP(C45,Projects!A:C,3,FALSE),"")</f>
        <v/>
      </c>
      <c r="H45" s="22" t="str">
        <f ca="1">IF(SUMIF(TimeSheet!A:E,Tasks!B45,TimeSheet!E:E)&gt;0,ROUNDUP(SUMIF(TimeSheet!A:E,Tasks!B45,TimeSheet!E:E),2),"")</f>
        <v/>
      </c>
      <c r="I45" s="22" t="str">
        <f ca="1">IF(H45&lt;&gt;"",ROUNDUP(G47/H45,2),"")</f>
        <v/>
      </c>
    </row>
    <row r="46" spans="1:9" x14ac:dyDescent="0.4">
      <c r="A46" s="11"/>
      <c r="D46" s="20" t="str">
        <f>IF(C46&lt;&gt;"",VLOOKUP(C46,Projects!A:C,3,FALSE),"")</f>
        <v/>
      </c>
      <c r="H46" s="22" t="str">
        <f ca="1">IF(SUMIF(TimeSheet!A:E,Tasks!B46,TimeSheet!E:E)&gt;0,ROUNDUP(SUMIF(TimeSheet!A:E,Tasks!B46,TimeSheet!E:E),2),"")</f>
        <v/>
      </c>
      <c r="I46" s="22" t="str">
        <f ca="1">IF(H46&lt;&gt;"",ROUNDUP(#REF!/H46,2),"")</f>
        <v/>
      </c>
    </row>
    <row r="47" spans="1:9" x14ac:dyDescent="0.4">
      <c r="A47" s="11"/>
      <c r="D47" s="20" t="str">
        <f>IF(C47&lt;&gt;"",VLOOKUP(C47,Projects!A:C,3,FALSE),"")</f>
        <v/>
      </c>
      <c r="H47" s="22" t="str">
        <f ca="1">IF(SUMIF(TimeSheet!A:E,Tasks!B47,TimeSheet!E:E)&gt;0,ROUNDUP(SUMIF(TimeSheet!A:E,Tasks!B47,TimeSheet!E:E),2),"")</f>
        <v/>
      </c>
      <c r="I47" s="22" t="str">
        <f ca="1">IF(H47&lt;&gt;"",ROUNDUP(#REF!/H47,2),"")</f>
        <v/>
      </c>
    </row>
    <row r="48" spans="1:9" x14ac:dyDescent="0.4">
      <c r="A48" s="11"/>
      <c r="D48" s="20" t="str">
        <f>IF(C48&lt;&gt;"",VLOOKUP(C48,Projects!A:C,3,FALSE),"")</f>
        <v/>
      </c>
      <c r="H48" s="22" t="str">
        <f ca="1">IF(SUMIF(TimeSheet!A:E,Tasks!B48,TimeSheet!E:E)&gt;0,ROUNDUP(SUMIF(TimeSheet!A:E,Tasks!B48,TimeSheet!E:E),2),"")</f>
        <v/>
      </c>
      <c r="I48" s="22" t="str">
        <f t="shared" ca="1" si="3"/>
        <v/>
      </c>
    </row>
    <row r="49" spans="1:9" x14ac:dyDescent="0.4">
      <c r="A49" s="11"/>
      <c r="D49" s="20" t="str">
        <f>IF(C49&lt;&gt;"",VLOOKUP(C49,Projects!A:C,3,FALSE),"")</f>
        <v/>
      </c>
      <c r="H49" s="22" t="str">
        <f ca="1">IF(SUMIF(TimeSheet!A:E,Tasks!B49,TimeSheet!E:E)&gt;0,ROUNDUP(SUMIF(TimeSheet!A:E,Tasks!B49,TimeSheet!E:E),2),"")</f>
        <v/>
      </c>
      <c r="I49" s="22" t="str">
        <f t="shared" ca="1" si="3"/>
        <v/>
      </c>
    </row>
    <row r="50" spans="1:9" x14ac:dyDescent="0.4">
      <c r="A50" s="11"/>
      <c r="D50" s="20" t="str">
        <f>IF(C50&lt;&gt;"",VLOOKUP(C50,Projects!A:C,3,FALSE),"")</f>
        <v/>
      </c>
      <c r="H50" s="22" t="str">
        <f ca="1">IF(SUMIF(TimeSheet!A:E,Tasks!B50,TimeSheet!E:E)&gt;0,ROUNDUP(SUMIF(TimeSheet!A:E,Tasks!B50,TimeSheet!E:E),2),"")</f>
        <v/>
      </c>
      <c r="I50" s="22" t="str">
        <f t="shared" ca="1" si="3"/>
        <v/>
      </c>
    </row>
    <row r="51" spans="1:9" x14ac:dyDescent="0.4">
      <c r="A51" s="11"/>
      <c r="D51" s="20" t="str">
        <f>IF(C51&lt;&gt;"",VLOOKUP(C51,Projects!A:C,3,FALSE),"")</f>
        <v/>
      </c>
      <c r="H51" s="22" t="str">
        <f ca="1">IF(SUMIF(TimeSheet!A:E,Tasks!B51,TimeSheet!E:E)&gt;0,ROUNDUP(SUMIF(TimeSheet!A:E,Tasks!B51,TimeSheet!E:E),2),"")</f>
        <v/>
      </c>
      <c r="I51" s="22" t="str">
        <f t="shared" ca="1" si="3"/>
        <v/>
      </c>
    </row>
    <row r="52" spans="1:9" x14ac:dyDescent="0.4">
      <c r="A52" s="11"/>
      <c r="D52" s="20" t="str">
        <f>IF(C52&lt;&gt;"",VLOOKUP(C52,Projects!A:C,3,FALSE),"")</f>
        <v/>
      </c>
      <c r="H52" s="22" t="str">
        <f ca="1">IF(SUMIF(TimeSheet!A:E,Tasks!B52,TimeSheet!E:E)&gt;0,ROUNDUP(SUMIF(TimeSheet!A:E,Tasks!B52,TimeSheet!E:E),2),"")</f>
        <v/>
      </c>
      <c r="I52" s="22" t="str">
        <f t="shared" ca="1" si="3"/>
        <v/>
      </c>
    </row>
    <row r="53" spans="1:9" x14ac:dyDescent="0.4">
      <c r="A53" s="11"/>
      <c r="D53" s="20" t="str">
        <f>IF(C53&lt;&gt;"",VLOOKUP(C53,Projects!A:C,3,FALSE),"")</f>
        <v/>
      </c>
      <c r="H53" s="22" t="str">
        <f ca="1">IF(SUMIF(TimeSheet!A:E,Tasks!B53,TimeSheet!E:E)&gt;0,ROUNDUP(SUMIF(TimeSheet!A:E,Tasks!B53,TimeSheet!E:E),2),"")</f>
        <v/>
      </c>
      <c r="I53" s="22" t="str">
        <f t="shared" ca="1" si="3"/>
        <v/>
      </c>
    </row>
    <row r="54" spans="1:9" x14ac:dyDescent="0.4">
      <c r="A54" s="11"/>
      <c r="D54" s="20" t="str">
        <f>IF(C54&lt;&gt;"",VLOOKUP(C54,Projects!A:C,3,FALSE),"")</f>
        <v/>
      </c>
      <c r="H54" s="22" t="str">
        <f ca="1">IF(SUMIF(TimeSheet!A:E,Tasks!B54,TimeSheet!E:E)&gt;0,ROUNDUP(SUMIF(TimeSheet!A:E,Tasks!B54,TimeSheet!E:E),2),"")</f>
        <v/>
      </c>
      <c r="I54" s="22" t="str">
        <f t="shared" ca="1" si="3"/>
        <v/>
      </c>
    </row>
    <row r="55" spans="1:9" x14ac:dyDescent="0.4">
      <c r="A55" s="11"/>
      <c r="D55" s="20" t="str">
        <f>IF(C55&lt;&gt;"",VLOOKUP(C55,Projects!A:C,3,FALSE),"")</f>
        <v/>
      </c>
      <c r="H55" s="22" t="str">
        <f ca="1">IF(SUMIF(TimeSheet!A:E,Tasks!B55,TimeSheet!E:E)&gt;0,ROUNDUP(SUMIF(TimeSheet!A:E,Tasks!B55,TimeSheet!E:E),2),"")</f>
        <v/>
      </c>
      <c r="I55" s="22" t="str">
        <f t="shared" ca="1" si="3"/>
        <v/>
      </c>
    </row>
    <row r="56" spans="1:9" x14ac:dyDescent="0.4">
      <c r="A56" s="11"/>
      <c r="D56" s="20" t="str">
        <f>IF(C56&lt;&gt;"",VLOOKUP(C56,Projects!A:C,3,FALSE),"")</f>
        <v/>
      </c>
      <c r="H56" s="22" t="str">
        <f ca="1">IF(SUMIF(TimeSheet!A:E,Tasks!B56,TimeSheet!E:E)&gt;0,ROUNDUP(SUMIF(TimeSheet!A:E,Tasks!B56,TimeSheet!E:E),2),"")</f>
        <v/>
      </c>
      <c r="I56" s="22" t="str">
        <f t="shared" ca="1" si="3"/>
        <v/>
      </c>
    </row>
    <row r="57" spans="1:9" x14ac:dyDescent="0.4">
      <c r="A57" s="11"/>
      <c r="D57" s="20" t="str">
        <f>IF(C57&lt;&gt;"",VLOOKUP(C57,Projects!A:C,3,FALSE),"")</f>
        <v/>
      </c>
      <c r="H57" s="22" t="str">
        <f ca="1">IF(SUMIF(TimeSheet!A:E,Tasks!B57,TimeSheet!E:E)&gt;0,ROUNDUP(SUMIF(TimeSheet!A:E,Tasks!B57,TimeSheet!E:E),2),"")</f>
        <v/>
      </c>
      <c r="I57" s="22" t="str">
        <f t="shared" ca="1" si="3"/>
        <v/>
      </c>
    </row>
    <row r="58" spans="1:9" x14ac:dyDescent="0.4">
      <c r="A58" s="11"/>
      <c r="D58" s="20" t="str">
        <f>IF(C58&lt;&gt;"",VLOOKUP(C58,Projects!A:C,3,FALSE),"")</f>
        <v/>
      </c>
      <c r="H58" s="22" t="str">
        <f ca="1">IF(SUMIF(TimeSheet!A:E,Tasks!B58,TimeSheet!E:E)&gt;0,ROUNDUP(SUMIF(TimeSheet!A:E,Tasks!B58,TimeSheet!E:E),2),"")</f>
        <v/>
      </c>
      <c r="I58" s="22" t="str">
        <f t="shared" ca="1" si="3"/>
        <v/>
      </c>
    </row>
    <row r="59" spans="1:9" x14ac:dyDescent="0.4">
      <c r="A59" s="11"/>
      <c r="D59" s="20" t="str">
        <f>IF(C59&lt;&gt;"",VLOOKUP(C59,Projects!A:C,3,FALSE),"")</f>
        <v/>
      </c>
      <c r="H59" s="22" t="str">
        <f ca="1">IF(SUMIF(TimeSheet!A:E,Tasks!B59,TimeSheet!E:E)&gt;0,ROUNDUP(SUMIF(TimeSheet!A:E,Tasks!B59,TimeSheet!E:E),2),"")</f>
        <v/>
      </c>
      <c r="I59" s="22" t="str">
        <f t="shared" ca="1" si="3"/>
        <v/>
      </c>
    </row>
    <row r="60" spans="1:9" x14ac:dyDescent="0.4">
      <c r="A60" s="11"/>
      <c r="D60" s="20" t="str">
        <f>IF(C60&lt;&gt;"",VLOOKUP(C60,Projects!A:C,3,FALSE),"")</f>
        <v/>
      </c>
      <c r="H60" s="22" t="str">
        <f ca="1">IF(SUMIF(TimeSheet!A:E,Tasks!B60,TimeSheet!E:E)&gt;0,ROUNDUP(SUMIF(TimeSheet!A:E,Tasks!B60,TimeSheet!E:E),2),"")</f>
        <v/>
      </c>
      <c r="I60" s="22" t="str">
        <f t="shared" ca="1" si="3"/>
        <v/>
      </c>
    </row>
    <row r="61" spans="1:9" x14ac:dyDescent="0.4">
      <c r="A61" s="11"/>
      <c r="D61" s="20" t="str">
        <f>IF(C61&lt;&gt;"",VLOOKUP(C61,Projects!A:C,3,FALSE),"")</f>
        <v/>
      </c>
      <c r="H61" s="22" t="str">
        <f ca="1">IF(SUMIF(TimeSheet!A:E,Tasks!B61,TimeSheet!E:E)&gt;0,ROUNDUP(SUMIF(TimeSheet!A:E,Tasks!B61,TimeSheet!E:E),2),"")</f>
        <v/>
      </c>
      <c r="I61" s="22" t="str">
        <f t="shared" ca="1" si="3"/>
        <v/>
      </c>
    </row>
    <row r="62" spans="1:9" x14ac:dyDescent="0.4">
      <c r="A62" s="11"/>
      <c r="D62" s="20" t="str">
        <f>IF(C62&lt;&gt;"",VLOOKUP(C62,Projects!A:C,3,FALSE),"")</f>
        <v/>
      </c>
      <c r="H62" s="22" t="str">
        <f ca="1">IF(SUMIF(TimeSheet!A:E,Tasks!B62,TimeSheet!E:E)&gt;0,ROUNDUP(SUMIF(TimeSheet!A:E,Tasks!B62,TimeSheet!E:E),2),"")</f>
        <v/>
      </c>
      <c r="I62" s="22" t="str">
        <f t="shared" ca="1" si="3"/>
        <v/>
      </c>
    </row>
    <row r="63" spans="1:9" x14ac:dyDescent="0.4">
      <c r="A63" s="11"/>
      <c r="D63" s="20" t="str">
        <f>IF(C63&lt;&gt;"",VLOOKUP(C63,Projects!A:C,3,FALSE),"")</f>
        <v/>
      </c>
      <c r="H63" s="22" t="str">
        <f ca="1">IF(SUMIF(TimeSheet!A:E,Tasks!B63,TimeSheet!E:E)&gt;0,ROUNDUP(SUMIF(TimeSheet!A:E,Tasks!B63,TimeSheet!E:E),2),"")</f>
        <v/>
      </c>
      <c r="I63" s="22" t="str">
        <f t="shared" ca="1" si="3"/>
        <v/>
      </c>
    </row>
    <row r="64" spans="1:9" x14ac:dyDescent="0.4">
      <c r="A64" s="11"/>
      <c r="D64" s="20" t="str">
        <f>IF(C64&lt;&gt;"",VLOOKUP(C64,Projects!A:C,3,FALSE),"")</f>
        <v/>
      </c>
      <c r="H64" s="22" t="str">
        <f ca="1">IF(SUMIF(TimeSheet!A:E,Tasks!B64,TimeSheet!E:E)&gt;0,ROUNDUP(SUMIF(TimeSheet!A:E,Tasks!B64,TimeSheet!E:E),2),"")</f>
        <v/>
      </c>
      <c r="I64" s="22" t="str">
        <f t="shared" ca="1" si="3"/>
        <v/>
      </c>
    </row>
    <row r="65" spans="1:9" x14ac:dyDescent="0.4">
      <c r="A65" s="11"/>
      <c r="D65" s="20" t="str">
        <f>IF(C65&lt;&gt;"",VLOOKUP(C65,Projects!A:C,3,FALSE),"")</f>
        <v/>
      </c>
      <c r="H65" s="22" t="str">
        <f ca="1">IF(SUMIF(TimeSheet!A:E,Tasks!B65,TimeSheet!E:E)&gt;0,ROUNDUP(SUMIF(TimeSheet!A:E,Tasks!B65,TimeSheet!E:E),2),"")</f>
        <v/>
      </c>
      <c r="I65" s="22" t="str">
        <f t="shared" ca="1" si="3"/>
        <v/>
      </c>
    </row>
    <row r="66" spans="1:9" x14ac:dyDescent="0.4">
      <c r="A66" s="11"/>
      <c r="D66" s="20" t="str">
        <f>IF(C66&lt;&gt;"",VLOOKUP(C66,Projects!A:C,3,FALSE),"")</f>
        <v/>
      </c>
      <c r="H66" s="22" t="str">
        <f ca="1">IF(SUMIF(TimeSheet!A:E,Tasks!B66,TimeSheet!E:E)&gt;0,ROUNDUP(SUMIF(TimeSheet!A:E,Tasks!B66,TimeSheet!E:E),2),"")</f>
        <v/>
      </c>
      <c r="I66" s="22" t="str">
        <f t="shared" ca="1" si="3"/>
        <v/>
      </c>
    </row>
    <row r="67" spans="1:9" x14ac:dyDescent="0.4">
      <c r="A67" s="11"/>
      <c r="D67" s="20" t="str">
        <f>IF(C67&lt;&gt;"",VLOOKUP(C67,Projects!A:C,3,FALSE),"")</f>
        <v/>
      </c>
      <c r="H67" s="22" t="str">
        <f ca="1">IF(SUMIF(TimeSheet!A:E,Tasks!B67,TimeSheet!E:E)&gt;0,ROUNDUP(SUMIF(TimeSheet!A:E,Tasks!B67,TimeSheet!E:E),2),"")</f>
        <v/>
      </c>
      <c r="I67" s="22" t="str">
        <f t="shared" ca="1" si="3"/>
        <v/>
      </c>
    </row>
    <row r="68" spans="1:9" x14ac:dyDescent="0.4">
      <c r="A68" s="11"/>
      <c r="D68" s="20" t="str">
        <f>IF(C68&lt;&gt;"",VLOOKUP(C68,Projects!A:C,3,FALSE),"")</f>
        <v/>
      </c>
      <c r="H68" s="22" t="str">
        <f ca="1">IF(SUMIF(TimeSheet!A:E,Tasks!B68,TimeSheet!E:E)&gt;0,ROUNDUP(SUMIF(TimeSheet!A:E,Tasks!B68,TimeSheet!E:E),2),"")</f>
        <v/>
      </c>
      <c r="I68" s="22" t="str">
        <f t="shared" ca="1" si="3"/>
        <v/>
      </c>
    </row>
    <row r="69" spans="1:9" x14ac:dyDescent="0.4">
      <c r="A69" s="11"/>
      <c r="D69" s="20" t="str">
        <f>IF(C69&lt;&gt;"",VLOOKUP(C69,Projects!A:C,3,FALSE),"")</f>
        <v/>
      </c>
      <c r="H69" s="22" t="str">
        <f ca="1">IF(SUMIF(TimeSheet!A:E,Tasks!B69,TimeSheet!E:E)&gt;0,ROUNDUP(SUMIF(TimeSheet!A:E,Tasks!B69,TimeSheet!E:E),2),"")</f>
        <v/>
      </c>
      <c r="I69" s="22" t="str">
        <f t="shared" ca="1" si="3"/>
        <v/>
      </c>
    </row>
    <row r="70" spans="1:9" x14ac:dyDescent="0.4">
      <c r="A70" s="11"/>
      <c r="D70" s="20" t="str">
        <f>IF(C70&lt;&gt;"",VLOOKUP(C70,Projects!A:C,3,FALSE),"")</f>
        <v/>
      </c>
      <c r="H70" s="22" t="str">
        <f ca="1">IF(SUMIF(TimeSheet!A:E,Tasks!B70,TimeSheet!E:E)&gt;0,ROUNDUP(SUMIF(TimeSheet!A:E,Tasks!B70,TimeSheet!E:E),2),"")</f>
        <v/>
      </c>
      <c r="I70" s="22" t="str">
        <f t="shared" ca="1" si="3"/>
        <v/>
      </c>
    </row>
    <row r="71" spans="1:9" x14ac:dyDescent="0.4">
      <c r="A71" s="11"/>
      <c r="D71" s="20" t="str">
        <f>IF(C71&lt;&gt;"",VLOOKUP(C71,Projects!A:C,3,FALSE),"")</f>
        <v/>
      </c>
      <c r="H71" s="22" t="str">
        <f ca="1">IF(SUMIF(TimeSheet!A:E,Tasks!B71,TimeSheet!E:E)&gt;0,ROUNDUP(SUMIF(TimeSheet!A:E,Tasks!B71,TimeSheet!E:E),2),"")</f>
        <v/>
      </c>
      <c r="I71" s="22" t="str">
        <f t="shared" ca="1" si="3"/>
        <v/>
      </c>
    </row>
    <row r="72" spans="1:9" x14ac:dyDescent="0.4">
      <c r="A72" s="11"/>
      <c r="D72" s="20" t="str">
        <f>IF(C72&lt;&gt;"",VLOOKUP(C72,Projects!A:C,3,FALSE),"")</f>
        <v/>
      </c>
      <c r="H72" s="22" t="str">
        <f ca="1">IF(SUMIF(TimeSheet!A:E,Tasks!B72,TimeSheet!E:E)&gt;0,ROUNDUP(SUMIF(TimeSheet!A:E,Tasks!B72,TimeSheet!E:E),2),"")</f>
        <v/>
      </c>
      <c r="I72" s="22" t="str">
        <f t="shared" ca="1" si="3"/>
        <v/>
      </c>
    </row>
    <row r="73" spans="1:9" x14ac:dyDescent="0.4">
      <c r="A73" s="11"/>
      <c r="D73" s="20" t="str">
        <f>IF(C73&lt;&gt;"",VLOOKUP(C73,Projects!A:C,3,FALSE),"")</f>
        <v/>
      </c>
      <c r="H73" s="22" t="str">
        <f ca="1">IF(SUMIF(TimeSheet!A:E,Tasks!B73,TimeSheet!E:E)&gt;0,ROUNDUP(SUMIF(TimeSheet!A:E,Tasks!B73,TimeSheet!E:E),2),"")</f>
        <v/>
      </c>
      <c r="I73" s="22" t="str">
        <f t="shared" ca="1" si="3"/>
        <v/>
      </c>
    </row>
    <row r="74" spans="1:9" x14ac:dyDescent="0.4">
      <c r="A74" s="11"/>
      <c r="D74" s="20" t="str">
        <f>IF(C74&lt;&gt;"",VLOOKUP(C74,Projects!A:C,3,FALSE),"")</f>
        <v/>
      </c>
      <c r="H74" s="22" t="str">
        <f ca="1">IF(SUMIF(TimeSheet!A:E,Tasks!B74,TimeSheet!E:E)&gt;0,ROUNDUP(SUMIF(TimeSheet!A:E,Tasks!B74,TimeSheet!E:E),2),"")</f>
        <v/>
      </c>
      <c r="I74" s="22" t="str">
        <f t="shared" ca="1" si="3"/>
        <v/>
      </c>
    </row>
    <row r="75" spans="1:9" x14ac:dyDescent="0.4">
      <c r="A75" s="11"/>
      <c r="D75" s="20" t="str">
        <f>IF(C75&lt;&gt;"",VLOOKUP(C75,Projects!A:C,3,FALSE),"")</f>
        <v/>
      </c>
      <c r="H75" s="22" t="str">
        <f ca="1">IF(SUMIF(TimeSheet!A:E,Tasks!B75,TimeSheet!E:E)&gt;0,ROUNDUP(SUMIF(TimeSheet!A:E,Tasks!B75,TimeSheet!E:E),2),"")</f>
        <v/>
      </c>
      <c r="I75" s="22" t="str">
        <f t="shared" ca="1" si="3"/>
        <v/>
      </c>
    </row>
    <row r="76" spans="1:9" x14ac:dyDescent="0.4">
      <c r="A76" s="11"/>
      <c r="D76" s="20" t="str">
        <f>IF(C76&lt;&gt;"",VLOOKUP(C76,Projects!A:C,3,FALSE),"")</f>
        <v/>
      </c>
      <c r="H76" s="22" t="str">
        <f ca="1">IF(SUMIF(TimeSheet!A:E,Tasks!B76,TimeSheet!E:E)&gt;0,ROUNDUP(SUMIF(TimeSheet!A:E,Tasks!B76,TimeSheet!E:E),2),"")</f>
        <v/>
      </c>
      <c r="I76" s="22" t="str">
        <f t="shared" ca="1" si="3"/>
        <v/>
      </c>
    </row>
    <row r="77" spans="1:9" x14ac:dyDescent="0.4">
      <c r="A77" s="11"/>
      <c r="D77" s="20" t="str">
        <f>IF(C77&lt;&gt;"",VLOOKUP(C77,Projects!A:C,3,FALSE),"")</f>
        <v/>
      </c>
      <c r="H77" s="22" t="str">
        <f ca="1">IF(SUMIF(TimeSheet!A:E,Tasks!B77,TimeSheet!E:E)&gt;0,ROUNDUP(SUMIF(TimeSheet!A:E,Tasks!B77,TimeSheet!E:E),2),"")</f>
        <v/>
      </c>
      <c r="I77" s="22" t="str">
        <f t="shared" ca="1" si="3"/>
        <v/>
      </c>
    </row>
    <row r="78" spans="1:9" x14ac:dyDescent="0.4">
      <c r="A78" s="11"/>
      <c r="D78" s="20" t="str">
        <f>IF(C78&lt;&gt;"",VLOOKUP(C78,Projects!A:C,3,FALSE),"")</f>
        <v/>
      </c>
      <c r="H78" s="22" t="str">
        <f ca="1">IF(SUMIF(TimeSheet!A:E,Tasks!B78,TimeSheet!E:E)&gt;0,ROUNDUP(SUMIF(TimeSheet!A:E,Tasks!B78,TimeSheet!E:E),2),"")</f>
        <v/>
      </c>
      <c r="I78" s="22" t="str">
        <f t="shared" ca="1" si="3"/>
        <v/>
      </c>
    </row>
    <row r="79" spans="1:9" x14ac:dyDescent="0.4">
      <c r="A79" s="11"/>
      <c r="D79" s="20" t="str">
        <f>IF(C79&lt;&gt;"",VLOOKUP(C79,Projects!A:C,3,FALSE),"")</f>
        <v/>
      </c>
      <c r="H79" s="22" t="str">
        <f ca="1">IF(SUMIF(TimeSheet!A:E,Tasks!B79,TimeSheet!E:E)&gt;0,ROUNDUP(SUMIF(TimeSheet!A:E,Tasks!B79,TimeSheet!E:E),2),"")</f>
        <v/>
      </c>
      <c r="I79" s="22" t="str">
        <f t="shared" ca="1" si="3"/>
        <v/>
      </c>
    </row>
    <row r="80" spans="1:9" x14ac:dyDescent="0.4">
      <c r="A80" s="11"/>
      <c r="D80" s="20" t="str">
        <f>IF(C80&lt;&gt;"",VLOOKUP(C80,Projects!A:C,3,FALSE),"")</f>
        <v/>
      </c>
      <c r="H80" s="22" t="str">
        <f ca="1">IF(SUMIF(TimeSheet!A:E,Tasks!B80,TimeSheet!E:E)&gt;0,ROUNDUP(SUMIF(TimeSheet!A:E,Tasks!B80,TimeSheet!E:E),2),"")</f>
        <v/>
      </c>
      <c r="I80" s="22" t="str">
        <f t="shared" ca="1" si="3"/>
        <v/>
      </c>
    </row>
    <row r="81" spans="1:9" x14ac:dyDescent="0.4">
      <c r="A81" s="11"/>
      <c r="D81" s="20" t="str">
        <f>IF(C81&lt;&gt;"",VLOOKUP(C81,Projects!A:C,3,FALSE),"")</f>
        <v/>
      </c>
      <c r="H81" s="22" t="str">
        <f ca="1">IF(SUMIF(TimeSheet!A:E,Tasks!B81,TimeSheet!E:E)&gt;0,ROUNDUP(SUMIF(TimeSheet!A:E,Tasks!B81,TimeSheet!E:E),2),"")</f>
        <v/>
      </c>
      <c r="I81" s="22" t="str">
        <f t="shared" ca="1" si="3"/>
        <v/>
      </c>
    </row>
    <row r="82" spans="1:9" x14ac:dyDescent="0.4">
      <c r="A82" s="11"/>
      <c r="D82" s="20" t="str">
        <f>IF(C82&lt;&gt;"",VLOOKUP(C82,Projects!A:C,3,FALSE),"")</f>
        <v/>
      </c>
      <c r="H82" s="22" t="str">
        <f ca="1">IF(SUMIF(TimeSheet!A:E,Tasks!B82,TimeSheet!E:E)&gt;0,ROUNDUP(SUMIF(TimeSheet!A:E,Tasks!B82,TimeSheet!E:E),2),"")</f>
        <v/>
      </c>
      <c r="I82" s="22" t="str">
        <f t="shared" ca="1" si="3"/>
        <v/>
      </c>
    </row>
    <row r="83" spans="1:9" x14ac:dyDescent="0.4">
      <c r="A83" s="11"/>
      <c r="D83" s="20" t="str">
        <f>IF(C83&lt;&gt;"",VLOOKUP(C83,Projects!A:C,3,FALSE),"")</f>
        <v/>
      </c>
      <c r="H83" s="22" t="str">
        <f ca="1">IF(SUMIF(TimeSheet!A:E,Tasks!B83,TimeSheet!E:E)&gt;0,ROUNDUP(SUMIF(TimeSheet!A:E,Tasks!B83,TimeSheet!E:E),2),"")</f>
        <v/>
      </c>
      <c r="I83" s="22" t="str">
        <f t="shared" ca="1" si="3"/>
        <v/>
      </c>
    </row>
    <row r="84" spans="1:9" x14ac:dyDescent="0.4">
      <c r="A84" s="11"/>
      <c r="D84" s="20" t="str">
        <f>IF(C84&lt;&gt;"",VLOOKUP(C84,Projects!A:C,3,FALSE),"")</f>
        <v/>
      </c>
      <c r="H84" s="22" t="str">
        <f ca="1">IF(SUMIF(TimeSheet!A:E,Tasks!B84,TimeSheet!E:E)&gt;0,ROUNDUP(SUMIF(TimeSheet!A:E,Tasks!B84,TimeSheet!E:E),2),"")</f>
        <v/>
      </c>
      <c r="I84" s="22" t="str">
        <f t="shared" ca="1" si="3"/>
        <v/>
      </c>
    </row>
    <row r="85" spans="1:9" x14ac:dyDescent="0.4">
      <c r="A85" s="11"/>
      <c r="D85" s="20" t="str">
        <f>IF(C85&lt;&gt;"",VLOOKUP(C85,Projects!A:C,3,FALSE),"")</f>
        <v/>
      </c>
      <c r="H85" s="22" t="str">
        <f ca="1">IF(SUMIF(TimeSheet!A:E,Tasks!B85,TimeSheet!E:E)&gt;0,ROUNDUP(SUMIF(TimeSheet!A:E,Tasks!B85,TimeSheet!E:E),2),"")</f>
        <v/>
      </c>
      <c r="I85" s="22" t="str">
        <f t="shared" ca="1" si="3"/>
        <v/>
      </c>
    </row>
    <row r="86" spans="1:9" x14ac:dyDescent="0.4">
      <c r="A86" s="11"/>
      <c r="D86" s="20" t="str">
        <f>IF(C86&lt;&gt;"",VLOOKUP(C86,Projects!A:C,3,FALSE),"")</f>
        <v/>
      </c>
      <c r="H86" s="22" t="str">
        <f ca="1">IF(SUMIF(TimeSheet!A:E,Tasks!B86,TimeSheet!E:E)&gt;0,ROUNDUP(SUMIF(TimeSheet!A:E,Tasks!B86,TimeSheet!E:E),2),"")</f>
        <v/>
      </c>
      <c r="I86" s="22" t="str">
        <f t="shared" ca="1" si="3"/>
        <v/>
      </c>
    </row>
    <row r="87" spans="1:9" x14ac:dyDescent="0.4">
      <c r="A87" s="11"/>
      <c r="D87" s="20" t="str">
        <f>IF(C87&lt;&gt;"",VLOOKUP(C87,Projects!A:C,3,FALSE),"")</f>
        <v/>
      </c>
      <c r="H87" s="22" t="str">
        <f ca="1">IF(SUMIF(TimeSheet!A:E,Tasks!B87,TimeSheet!E:E)&gt;0,ROUNDUP(SUMIF(TimeSheet!A:E,Tasks!B87,TimeSheet!E:E),2),"")</f>
        <v/>
      </c>
      <c r="I87" s="22" t="str">
        <f t="shared" ca="1" si="3"/>
        <v/>
      </c>
    </row>
    <row r="88" spans="1:9" x14ac:dyDescent="0.4">
      <c r="A88" s="11"/>
      <c r="D88" s="20" t="str">
        <f>IF(C88&lt;&gt;"",VLOOKUP(C88,Projects!A:C,3,FALSE),"")</f>
        <v/>
      </c>
      <c r="H88" s="22" t="str">
        <f ca="1">IF(SUMIF(TimeSheet!A:E,Tasks!B88,TimeSheet!E:E)&gt;0,ROUNDUP(SUMIF(TimeSheet!A:E,Tasks!B88,TimeSheet!E:E),2),"")</f>
        <v/>
      </c>
      <c r="I88" s="22" t="str">
        <f t="shared" ca="1" si="3"/>
        <v/>
      </c>
    </row>
    <row r="89" spans="1:9" x14ac:dyDescent="0.4">
      <c r="A89" s="11"/>
      <c r="D89" s="20" t="str">
        <f>IF(C89&lt;&gt;"",VLOOKUP(C89,Projects!A:C,3,FALSE),"")</f>
        <v/>
      </c>
      <c r="H89" s="22" t="str">
        <f ca="1">IF(SUMIF(TimeSheet!A:E,Tasks!B89,TimeSheet!E:E)&gt;0,ROUNDUP(SUMIF(TimeSheet!A:E,Tasks!B89,TimeSheet!E:E),2),"")</f>
        <v/>
      </c>
      <c r="I89" s="22" t="str">
        <f t="shared" ca="1" si="3"/>
        <v/>
      </c>
    </row>
    <row r="90" spans="1:9" x14ac:dyDescent="0.4">
      <c r="A90" s="11"/>
      <c r="D90" s="20" t="str">
        <f>IF(C90&lt;&gt;"",VLOOKUP(C90,Projects!A:C,3,FALSE),"")</f>
        <v/>
      </c>
      <c r="H90" s="22" t="str">
        <f ca="1">IF(SUMIF(TimeSheet!A:E,Tasks!B90,TimeSheet!E:E)&gt;0,ROUNDUP(SUMIF(TimeSheet!A:E,Tasks!B90,TimeSheet!E:E),2),"")</f>
        <v/>
      </c>
      <c r="I90" s="22" t="str">
        <f t="shared" ca="1" si="3"/>
        <v/>
      </c>
    </row>
    <row r="91" spans="1:9" x14ac:dyDescent="0.4">
      <c r="A91" s="11"/>
      <c r="D91" s="20" t="str">
        <f>IF(C91&lt;&gt;"",VLOOKUP(C91,Projects!A:C,3,FALSE),"")</f>
        <v/>
      </c>
      <c r="H91" s="22" t="str">
        <f ca="1">IF(SUMIF(TimeSheet!A:E,Tasks!B91,TimeSheet!E:E)&gt;0,ROUNDUP(SUMIF(TimeSheet!A:E,Tasks!B91,TimeSheet!E:E),2),"")</f>
        <v/>
      </c>
      <c r="I91" s="22" t="str">
        <f t="shared" ca="1" si="3"/>
        <v/>
      </c>
    </row>
    <row r="92" spans="1:9" x14ac:dyDescent="0.4">
      <c r="A92" s="11"/>
      <c r="D92" s="20" t="str">
        <f>IF(C92&lt;&gt;"",VLOOKUP(C92,Projects!A:C,3,FALSE),"")</f>
        <v/>
      </c>
      <c r="H92" s="22" t="str">
        <f ca="1">IF(SUMIF(TimeSheet!A:E,Tasks!B92,TimeSheet!E:E)&gt;0,ROUNDUP(SUMIF(TimeSheet!A:E,Tasks!B92,TimeSheet!E:E),2),"")</f>
        <v/>
      </c>
      <c r="I92" s="22" t="str">
        <f t="shared" ca="1" si="3"/>
        <v/>
      </c>
    </row>
    <row r="93" spans="1:9" x14ac:dyDescent="0.4">
      <c r="A93" s="11"/>
      <c r="D93" s="20" t="str">
        <f>IF(C93&lt;&gt;"",VLOOKUP(C93,Projects!A:C,3,FALSE),"")</f>
        <v/>
      </c>
      <c r="H93" s="22" t="str">
        <f ca="1">IF(SUMIF(TimeSheet!A:E,Tasks!B93,TimeSheet!E:E)&gt;0,ROUNDUP(SUMIF(TimeSheet!A:E,Tasks!B93,TimeSheet!E:E),2),"")</f>
        <v/>
      </c>
      <c r="I93" s="22" t="str">
        <f t="shared" ca="1" si="3"/>
        <v/>
      </c>
    </row>
    <row r="94" spans="1:9" x14ac:dyDescent="0.4">
      <c r="A94" s="11"/>
      <c r="D94" s="20" t="str">
        <f>IF(C94&lt;&gt;"",VLOOKUP(C94,Projects!A:C,3,FALSE),"")</f>
        <v/>
      </c>
      <c r="H94" s="22" t="str">
        <f ca="1">IF(SUMIF(TimeSheet!A:E,Tasks!B94,TimeSheet!E:E)&gt;0,ROUNDUP(SUMIF(TimeSheet!A:E,Tasks!B94,TimeSheet!E:E),2),"")</f>
        <v/>
      </c>
      <c r="I94" s="22" t="str">
        <f t="shared" ca="1" si="3"/>
        <v/>
      </c>
    </row>
    <row r="95" spans="1:9" x14ac:dyDescent="0.4">
      <c r="A95" s="11"/>
      <c r="D95" s="20" t="str">
        <f>IF(C95&lt;&gt;"",VLOOKUP(C95,Projects!A:C,3,FALSE),"")</f>
        <v/>
      </c>
      <c r="H95" s="22" t="str">
        <f ca="1">IF(SUMIF(TimeSheet!A:E,Tasks!B95,TimeSheet!E:E)&gt;0,ROUNDUP(SUMIF(TimeSheet!A:E,Tasks!B95,TimeSheet!E:E),2),"")</f>
        <v/>
      </c>
      <c r="I95" s="22" t="str">
        <f t="shared" ca="1" si="3"/>
        <v/>
      </c>
    </row>
    <row r="96" spans="1:9" x14ac:dyDescent="0.4">
      <c r="A96" s="11"/>
      <c r="D96" s="20" t="str">
        <f>IF(C96&lt;&gt;"",VLOOKUP(C96,Projects!A:C,3,FALSE),"")</f>
        <v/>
      </c>
      <c r="H96" s="22" t="str">
        <f ca="1">IF(SUMIF(TimeSheet!A:E,Tasks!B96,TimeSheet!E:E)&gt;0,ROUNDUP(SUMIF(TimeSheet!A:E,Tasks!B96,TimeSheet!E:E),2),"")</f>
        <v/>
      </c>
      <c r="I96" s="22" t="str">
        <f t="shared" ca="1" si="3"/>
        <v/>
      </c>
    </row>
    <row r="97" spans="1:9" x14ac:dyDescent="0.4">
      <c r="A97" s="11"/>
      <c r="D97" s="20" t="str">
        <f>IF(C97&lt;&gt;"",VLOOKUP(C97,Projects!A:C,3,FALSE),"")</f>
        <v/>
      </c>
      <c r="H97" s="22" t="str">
        <f ca="1">IF(SUMIF(TimeSheet!A:E,Tasks!B97,TimeSheet!E:E)&gt;0,ROUNDUP(SUMIF(TimeSheet!A:E,Tasks!B97,TimeSheet!E:E),2),"")</f>
        <v/>
      </c>
      <c r="I97" s="22" t="str">
        <f t="shared" ca="1" si="3"/>
        <v/>
      </c>
    </row>
    <row r="98" spans="1:9" x14ac:dyDescent="0.4">
      <c r="A98" s="11"/>
      <c r="D98" s="20" t="str">
        <f>IF(C98&lt;&gt;"",VLOOKUP(C98,Projects!A:C,3,FALSE),"")</f>
        <v/>
      </c>
      <c r="H98" s="22" t="str">
        <f ca="1">IF(SUMIF(TimeSheet!A:E,Tasks!B98,TimeSheet!E:E)&gt;0,ROUNDUP(SUMIF(TimeSheet!A:E,Tasks!B98,TimeSheet!E:E),2),"")</f>
        <v/>
      </c>
      <c r="I98" s="22" t="str">
        <f t="shared" ca="1" si="3"/>
        <v/>
      </c>
    </row>
    <row r="99" spans="1:9" x14ac:dyDescent="0.4">
      <c r="A99" s="11"/>
      <c r="D99" s="20" t="str">
        <f>IF(C99&lt;&gt;"",VLOOKUP(C99,Projects!A:C,3,FALSE),"")</f>
        <v/>
      </c>
      <c r="H99" s="22" t="str">
        <f ca="1">IF(SUMIF(TimeSheet!A:E,Tasks!B99,TimeSheet!E:E)&gt;0,ROUNDUP(SUMIF(TimeSheet!A:E,Tasks!B99,TimeSheet!E:E),2),"")</f>
        <v/>
      </c>
      <c r="I99" s="22" t="str">
        <f t="shared" ca="1" si="3"/>
        <v/>
      </c>
    </row>
  </sheetData>
  <autoFilter ref="A2:I99" xr:uid="{8297C0C1-7032-45CD-8820-AF8B9C5F2C8F}"/>
  <mergeCells count="1">
    <mergeCell ref="D1:E1"/>
  </mergeCells>
  <phoneticPr fontId="2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DDBFD-0B51-43F8-B92D-93770AFBAFDE}">
  <sheetPr codeName="Sheet3"/>
  <dimension ref="A1:F11"/>
  <sheetViews>
    <sheetView workbookViewId="0">
      <pane ySplit="2" topLeftCell="A3" activePane="bottomLeft" state="frozen"/>
      <selection pane="bottomLeft" activeCell="A3" sqref="A3"/>
    </sheetView>
  </sheetViews>
  <sheetFormatPr defaultRowHeight="12" x14ac:dyDescent="0.4"/>
  <cols>
    <col min="1" max="1" width="8.25" style="1" bestFit="1" customWidth="1"/>
    <col min="2" max="2" width="7.125" style="1" bestFit="1" customWidth="1"/>
    <col min="3" max="3" width="24.25" style="1" bestFit="1" customWidth="1"/>
    <col min="4" max="4" width="8.875" style="1" bestFit="1" customWidth="1"/>
    <col min="5" max="5" width="12" style="25" bestFit="1" customWidth="1"/>
    <col min="6" max="6" width="8.375" style="21" bestFit="1" customWidth="1"/>
    <col min="7" max="16384" width="9" style="1"/>
  </cols>
  <sheetData>
    <row r="1" spans="1:6" ht="24" x14ac:dyDescent="0.4">
      <c r="C1" s="2" t="s">
        <v>132</v>
      </c>
      <c r="E1" s="7"/>
      <c r="F1" s="1"/>
    </row>
    <row r="2" spans="1:6" ht="24" x14ac:dyDescent="0.4">
      <c r="A2" s="1" t="s">
        <v>0</v>
      </c>
      <c r="B2" s="1" t="s">
        <v>111</v>
      </c>
      <c r="C2" s="1" t="s">
        <v>112</v>
      </c>
      <c r="D2" s="2" t="s">
        <v>108</v>
      </c>
      <c r="E2" s="24" t="s">
        <v>124</v>
      </c>
      <c r="F2" s="21" t="s">
        <v>113</v>
      </c>
    </row>
    <row r="3" spans="1:6" x14ac:dyDescent="0.4">
      <c r="A3" s="1">
        <v>1</v>
      </c>
      <c r="B3" s="6"/>
      <c r="C3" s="1" t="s">
        <v>134</v>
      </c>
      <c r="D3" s="1" t="s">
        <v>135</v>
      </c>
      <c r="E3" s="25">
        <f ca="1">SUMIF(Tasks!C:C,A3,Tasks!H:H)</f>
        <v>0.51</v>
      </c>
      <c r="F3" s="26">
        <f t="shared" ref="F3" ca="1" si="0">E3/SUM(E:E)</f>
        <v>1</v>
      </c>
    </row>
    <row r="4" spans="1:6" x14ac:dyDescent="0.4">
      <c r="B4" s="5"/>
      <c r="F4" s="26"/>
    </row>
    <row r="5" spans="1:6" x14ac:dyDescent="0.4">
      <c r="F5" s="26"/>
    </row>
    <row r="6" spans="1:6" x14ac:dyDescent="0.4">
      <c r="B6" s="6"/>
      <c r="F6" s="26"/>
    </row>
    <row r="7" spans="1:6" x14ac:dyDescent="0.4">
      <c r="B7" s="6"/>
      <c r="F7" s="26"/>
    </row>
    <row r="8" spans="1:6" x14ac:dyDescent="0.4">
      <c r="B8" s="6"/>
      <c r="F8" s="26"/>
    </row>
    <row r="9" spans="1:6" x14ac:dyDescent="0.4">
      <c r="F9" s="26"/>
    </row>
    <row r="10" spans="1:6" x14ac:dyDescent="0.4">
      <c r="F10" s="26"/>
    </row>
    <row r="11" spans="1:6" x14ac:dyDescent="0.4">
      <c r="B11" s="5"/>
      <c r="F11" s="26"/>
    </row>
  </sheetData>
  <autoFilter ref="A2:F8" xr:uid="{10A731BB-6615-421F-9BD6-9285EB077554}"/>
  <phoneticPr fontId="2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00817-1D99-483F-8BD7-DCBA9C9B5771}">
  <sheetPr codeName="Sheet4"/>
  <dimension ref="A1"/>
  <sheetViews>
    <sheetView workbookViewId="0">
      <selection activeCell="E23" sqref="E23"/>
    </sheetView>
  </sheetViews>
  <sheetFormatPr defaultRowHeight="18.75" x14ac:dyDescent="0.4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8072B-5EC1-4ED7-A17B-A6F78457701E}">
  <sheetPr codeName="Sheet6"/>
  <dimension ref="A1:DA365"/>
  <sheetViews>
    <sheetView workbookViewId="0">
      <pane xSplit="5" ySplit="7" topLeftCell="F8" activePane="bottomRight" state="frozen"/>
      <selection pane="topRight" activeCell="F1" sqref="F1"/>
      <selection pane="bottomLeft" activeCell="A3" sqref="A3"/>
      <selection pane="bottomRight" activeCell="A2" sqref="A2"/>
    </sheetView>
  </sheetViews>
  <sheetFormatPr defaultRowHeight="12" outlineLevelRow="1" x14ac:dyDescent="0.4"/>
  <cols>
    <col min="1" max="1" width="8.25" style="1" bestFit="1" customWidth="1"/>
    <col min="2" max="2" width="8.25" style="21" bestFit="1" customWidth="1"/>
    <col min="3" max="3" width="11.625" style="20" bestFit="1" customWidth="1"/>
    <col min="4" max="4" width="8" style="20" bestFit="1" customWidth="1"/>
    <col min="5" max="5" width="9.25" style="21" bestFit="1" customWidth="1"/>
    <col min="6" max="43" width="7.375" style="21" bestFit="1" customWidth="1"/>
    <col min="44" max="44" width="6.375" style="21" bestFit="1" customWidth="1"/>
    <col min="45" max="57" width="7.375" style="21" bestFit="1" customWidth="1"/>
    <col min="58" max="58" width="6.375" style="21" bestFit="1" customWidth="1"/>
    <col min="59" max="59" width="7.375" style="21" bestFit="1" customWidth="1"/>
    <col min="60" max="60" width="6.375" style="21" bestFit="1" customWidth="1"/>
    <col min="61" max="68" width="7.375" style="21" bestFit="1" customWidth="1"/>
    <col min="69" max="69" width="6.375" style="21" bestFit="1" customWidth="1"/>
    <col min="70" max="87" width="7.375" style="21" bestFit="1" customWidth="1"/>
    <col min="88" max="88" width="6.375" style="21" bestFit="1" customWidth="1"/>
    <col min="89" max="92" width="7.375" style="21" bestFit="1" customWidth="1"/>
    <col min="93" max="93" width="6.375" style="21" bestFit="1" customWidth="1"/>
    <col min="94" max="105" width="7.375" style="21" bestFit="1" customWidth="1"/>
    <col min="106" max="16384" width="9" style="1"/>
  </cols>
  <sheetData>
    <row r="1" spans="1:105" x14ac:dyDescent="0.4">
      <c r="A1" s="27" t="s">
        <v>139</v>
      </c>
      <c r="B1" s="27"/>
      <c r="C1" s="27"/>
      <c r="D1" s="27"/>
      <c r="E1" s="27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</row>
    <row r="2" spans="1:105" ht="24" x14ac:dyDescent="0.4">
      <c r="B2" s="2" t="s">
        <v>2</v>
      </c>
      <c r="C2" s="2" t="s">
        <v>104</v>
      </c>
      <c r="D2" s="1" t="s">
        <v>1</v>
      </c>
      <c r="E2" s="2" t="s">
        <v>128</v>
      </c>
      <c r="F2" s="12">
        <f t="shared" ref="F2:AK2" si="0">SUM(F8:F93)</f>
        <v>0.625</v>
      </c>
      <c r="G2" s="12">
        <f t="shared" si="0"/>
        <v>0.625</v>
      </c>
      <c r="H2" s="12">
        <f t="shared" si="0"/>
        <v>0.625</v>
      </c>
      <c r="I2" s="12">
        <f t="shared" si="0"/>
        <v>0.625</v>
      </c>
      <c r="J2" s="12">
        <f t="shared" si="0"/>
        <v>0.625</v>
      </c>
      <c r="K2" s="12">
        <f t="shared" si="0"/>
        <v>0.625</v>
      </c>
      <c r="L2" s="12">
        <f t="shared" si="0"/>
        <v>0.625</v>
      </c>
      <c r="M2" s="12">
        <f t="shared" si="0"/>
        <v>0.625</v>
      </c>
      <c r="N2" s="12">
        <f t="shared" si="0"/>
        <v>0.625</v>
      </c>
      <c r="O2" s="12">
        <f t="shared" si="0"/>
        <v>0.625</v>
      </c>
      <c r="P2" s="12">
        <f t="shared" si="0"/>
        <v>0.625</v>
      </c>
      <c r="Q2" s="12">
        <f t="shared" si="0"/>
        <v>0.625</v>
      </c>
      <c r="R2" s="12">
        <f t="shared" si="0"/>
        <v>0.625</v>
      </c>
      <c r="S2" s="12">
        <f t="shared" si="0"/>
        <v>0.625</v>
      </c>
      <c r="T2" s="12">
        <f t="shared" si="0"/>
        <v>0.625</v>
      </c>
      <c r="U2" s="12">
        <f t="shared" si="0"/>
        <v>0.625</v>
      </c>
      <c r="V2" s="12">
        <f t="shared" si="0"/>
        <v>0.625</v>
      </c>
      <c r="W2" s="12">
        <f t="shared" si="0"/>
        <v>0.625</v>
      </c>
      <c r="X2" s="12">
        <f t="shared" si="0"/>
        <v>0.625</v>
      </c>
      <c r="Y2" s="12">
        <f t="shared" si="0"/>
        <v>0.625</v>
      </c>
      <c r="Z2" s="12">
        <f t="shared" si="0"/>
        <v>0.625</v>
      </c>
      <c r="AA2" s="12">
        <f t="shared" si="0"/>
        <v>0.625</v>
      </c>
      <c r="AB2" s="12">
        <f t="shared" si="0"/>
        <v>0.625</v>
      </c>
      <c r="AC2" s="12">
        <f t="shared" si="0"/>
        <v>0.625</v>
      </c>
      <c r="AD2" s="12">
        <f t="shared" si="0"/>
        <v>0.625</v>
      </c>
      <c r="AE2" s="12">
        <f t="shared" si="0"/>
        <v>0.625</v>
      </c>
      <c r="AF2" s="12">
        <f t="shared" si="0"/>
        <v>0.625</v>
      </c>
      <c r="AG2" s="12">
        <f t="shared" si="0"/>
        <v>0.625</v>
      </c>
      <c r="AH2" s="12">
        <f t="shared" si="0"/>
        <v>0.625</v>
      </c>
      <c r="AI2" s="12">
        <f t="shared" si="0"/>
        <v>0.625</v>
      </c>
      <c r="AJ2" s="12">
        <f t="shared" si="0"/>
        <v>0.625</v>
      </c>
      <c r="AK2" s="12">
        <f t="shared" si="0"/>
        <v>0.625</v>
      </c>
      <c r="AL2" s="12">
        <f t="shared" ref="AL2:BR2" si="1">SUM(AL8:AL93)</f>
        <v>0.625</v>
      </c>
      <c r="AM2" s="12">
        <f t="shared" si="1"/>
        <v>0.625</v>
      </c>
      <c r="AN2" s="12">
        <f t="shared" si="1"/>
        <v>0.625</v>
      </c>
      <c r="AO2" s="12">
        <f t="shared" si="1"/>
        <v>0.625</v>
      </c>
      <c r="AP2" s="12">
        <f t="shared" si="1"/>
        <v>0.625</v>
      </c>
      <c r="AQ2" s="12">
        <f t="shared" si="1"/>
        <v>0.625</v>
      </c>
      <c r="AR2" s="12">
        <f t="shared" si="1"/>
        <v>0.625</v>
      </c>
      <c r="AS2" s="12">
        <f t="shared" si="1"/>
        <v>0.625</v>
      </c>
      <c r="AT2" s="12">
        <f t="shared" si="1"/>
        <v>0.625</v>
      </c>
      <c r="AU2" s="12">
        <f t="shared" si="1"/>
        <v>0.625</v>
      </c>
      <c r="AV2" s="12">
        <f t="shared" si="1"/>
        <v>0.625</v>
      </c>
      <c r="AW2" s="12">
        <f t="shared" si="1"/>
        <v>0.625</v>
      </c>
      <c r="AX2" s="12">
        <f t="shared" si="1"/>
        <v>0.625</v>
      </c>
      <c r="AY2" s="12">
        <f t="shared" si="1"/>
        <v>0.625</v>
      </c>
      <c r="AZ2" s="12">
        <f t="shared" si="1"/>
        <v>0.625</v>
      </c>
      <c r="BA2" s="12">
        <f t="shared" si="1"/>
        <v>0.625</v>
      </c>
      <c r="BB2" s="12">
        <f t="shared" si="1"/>
        <v>0.625</v>
      </c>
      <c r="BC2" s="12">
        <f t="shared" si="1"/>
        <v>0.625</v>
      </c>
      <c r="BD2" s="12">
        <f t="shared" si="1"/>
        <v>0.625</v>
      </c>
      <c r="BE2" s="12">
        <f t="shared" si="1"/>
        <v>0.625</v>
      </c>
      <c r="BF2" s="12">
        <f t="shared" si="1"/>
        <v>0.625</v>
      </c>
      <c r="BG2" s="12">
        <f t="shared" si="1"/>
        <v>0.625</v>
      </c>
      <c r="BH2" s="12">
        <f t="shared" si="1"/>
        <v>0.625</v>
      </c>
      <c r="BI2" s="12">
        <f t="shared" si="1"/>
        <v>0.625</v>
      </c>
      <c r="BJ2" s="12">
        <f t="shared" si="1"/>
        <v>0.625</v>
      </c>
      <c r="BK2" s="12">
        <f t="shared" si="1"/>
        <v>0.625</v>
      </c>
      <c r="BL2" s="12">
        <f t="shared" si="1"/>
        <v>0.625</v>
      </c>
      <c r="BM2" s="12">
        <f t="shared" si="1"/>
        <v>0.625</v>
      </c>
      <c r="BN2" s="12">
        <f t="shared" si="1"/>
        <v>0.625</v>
      </c>
      <c r="BO2" s="12">
        <f t="shared" si="1"/>
        <v>0.625</v>
      </c>
      <c r="BP2" s="12">
        <f t="shared" si="1"/>
        <v>0.625</v>
      </c>
      <c r="BQ2" s="12">
        <f t="shared" si="1"/>
        <v>0.625</v>
      </c>
      <c r="BR2" s="12">
        <f t="shared" si="1"/>
        <v>0.625</v>
      </c>
      <c r="BS2" s="12">
        <f t="shared" ref="BS2:DA2" si="2">SUM(BS8:BS93)</f>
        <v>0.625</v>
      </c>
      <c r="BT2" s="12">
        <f t="shared" si="2"/>
        <v>0.625</v>
      </c>
      <c r="BU2" s="12">
        <f t="shared" si="2"/>
        <v>0.625</v>
      </c>
      <c r="BV2" s="12">
        <f t="shared" si="2"/>
        <v>0.625</v>
      </c>
      <c r="BW2" s="12">
        <f t="shared" si="2"/>
        <v>0.625</v>
      </c>
      <c r="BX2" s="12">
        <f t="shared" si="2"/>
        <v>0.625</v>
      </c>
      <c r="BY2" s="12">
        <f t="shared" si="2"/>
        <v>0.625</v>
      </c>
      <c r="BZ2" s="12">
        <f t="shared" si="2"/>
        <v>0.625</v>
      </c>
      <c r="CA2" s="12">
        <f t="shared" si="2"/>
        <v>0.625</v>
      </c>
      <c r="CB2" s="12">
        <f t="shared" si="2"/>
        <v>0.625</v>
      </c>
      <c r="CC2" s="12">
        <f t="shared" si="2"/>
        <v>0.625</v>
      </c>
      <c r="CD2" s="12">
        <f t="shared" si="2"/>
        <v>0.625</v>
      </c>
      <c r="CE2" s="12">
        <f t="shared" si="2"/>
        <v>0.625</v>
      </c>
      <c r="CF2" s="12">
        <f t="shared" si="2"/>
        <v>0.625</v>
      </c>
      <c r="CG2" s="12">
        <f t="shared" si="2"/>
        <v>0.625</v>
      </c>
      <c r="CH2" s="12">
        <f t="shared" si="2"/>
        <v>0.625</v>
      </c>
      <c r="CI2" s="12">
        <f t="shared" si="2"/>
        <v>0.625</v>
      </c>
      <c r="CJ2" s="12">
        <f t="shared" si="2"/>
        <v>0.625</v>
      </c>
      <c r="CK2" s="12">
        <f t="shared" si="2"/>
        <v>0.625</v>
      </c>
      <c r="CL2" s="12">
        <f t="shared" si="2"/>
        <v>0.625</v>
      </c>
      <c r="CM2" s="12">
        <f t="shared" si="2"/>
        <v>0.625</v>
      </c>
      <c r="CN2" s="12">
        <f t="shared" si="2"/>
        <v>0.625</v>
      </c>
      <c r="CO2" s="12">
        <f t="shared" si="2"/>
        <v>0.625</v>
      </c>
      <c r="CP2" s="12">
        <f t="shared" si="2"/>
        <v>0.625</v>
      </c>
      <c r="CQ2" s="12">
        <f t="shared" si="2"/>
        <v>0.625</v>
      </c>
      <c r="CR2" s="12">
        <f t="shared" si="2"/>
        <v>0.625</v>
      </c>
      <c r="CS2" s="12">
        <f t="shared" si="2"/>
        <v>0.625</v>
      </c>
      <c r="CT2" s="12">
        <f t="shared" si="2"/>
        <v>0.625</v>
      </c>
      <c r="CU2" s="12">
        <f t="shared" si="2"/>
        <v>0.625</v>
      </c>
      <c r="CV2" s="12">
        <f t="shared" si="2"/>
        <v>0.625</v>
      </c>
      <c r="CW2" s="12">
        <f t="shared" si="2"/>
        <v>0.625</v>
      </c>
      <c r="CX2" s="12">
        <f t="shared" si="2"/>
        <v>0.625</v>
      </c>
      <c r="CY2" s="12">
        <f t="shared" si="2"/>
        <v>0.625</v>
      </c>
      <c r="CZ2" s="12">
        <f t="shared" si="2"/>
        <v>0.625</v>
      </c>
      <c r="DA2" s="12">
        <f t="shared" si="2"/>
        <v>0.625</v>
      </c>
    </row>
    <row r="3" spans="1:105" ht="24.75" thickBot="1" x14ac:dyDescent="0.45">
      <c r="A3" s="2" t="s">
        <v>110</v>
      </c>
      <c r="B3" s="1">
        <f>MAX($F$2:$DA$2)</f>
        <v>0.625</v>
      </c>
      <c r="C3" s="1">
        <f>MEDIAN($F$2:$DA$2)</f>
        <v>0.625</v>
      </c>
      <c r="D3" s="1">
        <f>MIN($F$2:$DA$2)</f>
        <v>0.625</v>
      </c>
      <c r="E3" s="2" t="s">
        <v>125</v>
      </c>
      <c r="F3" s="12">
        <f>ROUNDUP(F2/$B$4,2)</f>
        <v>0.09</v>
      </c>
      <c r="G3" s="12">
        <f t="shared" ref="G3:BR3" si="3">ROUNDUP(G2/$B$4,2)</f>
        <v>0.09</v>
      </c>
      <c r="H3" s="12">
        <f t="shared" si="3"/>
        <v>0.09</v>
      </c>
      <c r="I3" s="12">
        <f t="shared" si="3"/>
        <v>0.09</v>
      </c>
      <c r="J3" s="12">
        <f t="shared" si="3"/>
        <v>0.09</v>
      </c>
      <c r="K3" s="12">
        <f t="shared" si="3"/>
        <v>0.09</v>
      </c>
      <c r="L3" s="12">
        <f t="shared" si="3"/>
        <v>0.09</v>
      </c>
      <c r="M3" s="12">
        <f t="shared" si="3"/>
        <v>0.09</v>
      </c>
      <c r="N3" s="12">
        <f t="shared" si="3"/>
        <v>0.09</v>
      </c>
      <c r="O3" s="12">
        <f t="shared" si="3"/>
        <v>0.09</v>
      </c>
      <c r="P3" s="12">
        <f t="shared" si="3"/>
        <v>0.09</v>
      </c>
      <c r="Q3" s="12">
        <f t="shared" si="3"/>
        <v>0.09</v>
      </c>
      <c r="R3" s="12">
        <f t="shared" si="3"/>
        <v>0.09</v>
      </c>
      <c r="S3" s="12">
        <f t="shared" si="3"/>
        <v>0.09</v>
      </c>
      <c r="T3" s="12">
        <f t="shared" si="3"/>
        <v>0.09</v>
      </c>
      <c r="U3" s="12">
        <f t="shared" si="3"/>
        <v>0.09</v>
      </c>
      <c r="V3" s="12">
        <f t="shared" si="3"/>
        <v>0.09</v>
      </c>
      <c r="W3" s="12">
        <f t="shared" si="3"/>
        <v>0.09</v>
      </c>
      <c r="X3" s="12">
        <f t="shared" si="3"/>
        <v>0.09</v>
      </c>
      <c r="Y3" s="12">
        <f t="shared" si="3"/>
        <v>0.09</v>
      </c>
      <c r="Z3" s="12">
        <f t="shared" si="3"/>
        <v>0.09</v>
      </c>
      <c r="AA3" s="12">
        <f t="shared" si="3"/>
        <v>0.09</v>
      </c>
      <c r="AB3" s="12">
        <f t="shared" si="3"/>
        <v>0.09</v>
      </c>
      <c r="AC3" s="12">
        <f t="shared" si="3"/>
        <v>0.09</v>
      </c>
      <c r="AD3" s="12">
        <f t="shared" si="3"/>
        <v>0.09</v>
      </c>
      <c r="AE3" s="12">
        <f t="shared" si="3"/>
        <v>0.09</v>
      </c>
      <c r="AF3" s="12">
        <f t="shared" si="3"/>
        <v>0.09</v>
      </c>
      <c r="AG3" s="12">
        <f t="shared" si="3"/>
        <v>0.09</v>
      </c>
      <c r="AH3" s="12">
        <f t="shared" si="3"/>
        <v>0.09</v>
      </c>
      <c r="AI3" s="12">
        <f t="shared" si="3"/>
        <v>0.09</v>
      </c>
      <c r="AJ3" s="12">
        <f t="shared" si="3"/>
        <v>0.09</v>
      </c>
      <c r="AK3" s="12">
        <f t="shared" si="3"/>
        <v>0.09</v>
      </c>
      <c r="AL3" s="12">
        <f t="shared" si="3"/>
        <v>0.09</v>
      </c>
      <c r="AM3" s="12">
        <f t="shared" si="3"/>
        <v>0.09</v>
      </c>
      <c r="AN3" s="12">
        <f t="shared" si="3"/>
        <v>0.09</v>
      </c>
      <c r="AO3" s="12">
        <f t="shared" si="3"/>
        <v>0.09</v>
      </c>
      <c r="AP3" s="12">
        <f t="shared" si="3"/>
        <v>0.09</v>
      </c>
      <c r="AQ3" s="12">
        <f t="shared" si="3"/>
        <v>0.09</v>
      </c>
      <c r="AR3" s="12">
        <f t="shared" si="3"/>
        <v>0.09</v>
      </c>
      <c r="AS3" s="12">
        <f t="shared" si="3"/>
        <v>0.09</v>
      </c>
      <c r="AT3" s="12">
        <f t="shared" si="3"/>
        <v>0.09</v>
      </c>
      <c r="AU3" s="12">
        <f t="shared" si="3"/>
        <v>0.09</v>
      </c>
      <c r="AV3" s="12">
        <f t="shared" si="3"/>
        <v>0.09</v>
      </c>
      <c r="AW3" s="12">
        <f t="shared" si="3"/>
        <v>0.09</v>
      </c>
      <c r="AX3" s="12">
        <f t="shared" si="3"/>
        <v>0.09</v>
      </c>
      <c r="AY3" s="12">
        <f t="shared" si="3"/>
        <v>0.09</v>
      </c>
      <c r="AZ3" s="12">
        <f t="shared" si="3"/>
        <v>0.09</v>
      </c>
      <c r="BA3" s="12">
        <f t="shared" si="3"/>
        <v>0.09</v>
      </c>
      <c r="BB3" s="12">
        <f t="shared" si="3"/>
        <v>0.09</v>
      </c>
      <c r="BC3" s="12">
        <f t="shared" si="3"/>
        <v>0.09</v>
      </c>
      <c r="BD3" s="12">
        <f t="shared" si="3"/>
        <v>0.09</v>
      </c>
      <c r="BE3" s="12">
        <f t="shared" si="3"/>
        <v>0.09</v>
      </c>
      <c r="BF3" s="12">
        <f t="shared" si="3"/>
        <v>0.09</v>
      </c>
      <c r="BG3" s="12">
        <f t="shared" si="3"/>
        <v>0.09</v>
      </c>
      <c r="BH3" s="12">
        <f t="shared" si="3"/>
        <v>0.09</v>
      </c>
      <c r="BI3" s="12">
        <f t="shared" si="3"/>
        <v>0.09</v>
      </c>
      <c r="BJ3" s="12">
        <f t="shared" si="3"/>
        <v>0.09</v>
      </c>
      <c r="BK3" s="12">
        <f t="shared" si="3"/>
        <v>0.09</v>
      </c>
      <c r="BL3" s="12">
        <f t="shared" si="3"/>
        <v>0.09</v>
      </c>
      <c r="BM3" s="12">
        <f t="shared" si="3"/>
        <v>0.09</v>
      </c>
      <c r="BN3" s="12">
        <f t="shared" si="3"/>
        <v>0.09</v>
      </c>
      <c r="BO3" s="12">
        <f t="shared" si="3"/>
        <v>0.09</v>
      </c>
      <c r="BP3" s="12">
        <f t="shared" si="3"/>
        <v>0.09</v>
      </c>
      <c r="BQ3" s="12">
        <f t="shared" si="3"/>
        <v>0.09</v>
      </c>
      <c r="BR3" s="12">
        <f t="shared" si="3"/>
        <v>0.09</v>
      </c>
      <c r="BS3" s="12">
        <f t="shared" ref="BS3:DA3" si="4">ROUNDUP(BS2/$B$4,2)</f>
        <v>0.09</v>
      </c>
      <c r="BT3" s="12">
        <f t="shared" si="4"/>
        <v>0.09</v>
      </c>
      <c r="BU3" s="12">
        <f t="shared" si="4"/>
        <v>0.09</v>
      </c>
      <c r="BV3" s="12">
        <f t="shared" si="4"/>
        <v>0.09</v>
      </c>
      <c r="BW3" s="12">
        <f t="shared" si="4"/>
        <v>0.09</v>
      </c>
      <c r="BX3" s="12">
        <f t="shared" si="4"/>
        <v>0.09</v>
      </c>
      <c r="BY3" s="12">
        <f t="shared" si="4"/>
        <v>0.09</v>
      </c>
      <c r="BZ3" s="12">
        <f t="shared" si="4"/>
        <v>0.09</v>
      </c>
      <c r="CA3" s="12">
        <f t="shared" si="4"/>
        <v>0.09</v>
      </c>
      <c r="CB3" s="12">
        <f t="shared" si="4"/>
        <v>0.09</v>
      </c>
      <c r="CC3" s="12">
        <f t="shared" si="4"/>
        <v>0.09</v>
      </c>
      <c r="CD3" s="12">
        <f t="shared" si="4"/>
        <v>0.09</v>
      </c>
      <c r="CE3" s="12">
        <f t="shared" si="4"/>
        <v>0.09</v>
      </c>
      <c r="CF3" s="12">
        <f t="shared" si="4"/>
        <v>0.09</v>
      </c>
      <c r="CG3" s="12">
        <f t="shared" si="4"/>
        <v>0.09</v>
      </c>
      <c r="CH3" s="12">
        <f t="shared" si="4"/>
        <v>0.09</v>
      </c>
      <c r="CI3" s="12">
        <f t="shared" si="4"/>
        <v>0.09</v>
      </c>
      <c r="CJ3" s="12">
        <f t="shared" si="4"/>
        <v>0.09</v>
      </c>
      <c r="CK3" s="12">
        <f t="shared" si="4"/>
        <v>0.09</v>
      </c>
      <c r="CL3" s="12">
        <f t="shared" si="4"/>
        <v>0.09</v>
      </c>
      <c r="CM3" s="12">
        <f t="shared" si="4"/>
        <v>0.09</v>
      </c>
      <c r="CN3" s="12">
        <f t="shared" si="4"/>
        <v>0.09</v>
      </c>
      <c r="CO3" s="12">
        <f t="shared" si="4"/>
        <v>0.09</v>
      </c>
      <c r="CP3" s="12">
        <f t="shared" si="4"/>
        <v>0.09</v>
      </c>
      <c r="CQ3" s="12">
        <f t="shared" si="4"/>
        <v>0.09</v>
      </c>
      <c r="CR3" s="12">
        <f t="shared" si="4"/>
        <v>0.09</v>
      </c>
      <c r="CS3" s="12">
        <f t="shared" si="4"/>
        <v>0.09</v>
      </c>
      <c r="CT3" s="12">
        <f t="shared" si="4"/>
        <v>0.09</v>
      </c>
      <c r="CU3" s="12">
        <f t="shared" si="4"/>
        <v>0.09</v>
      </c>
      <c r="CV3" s="12">
        <f t="shared" si="4"/>
        <v>0.09</v>
      </c>
      <c r="CW3" s="12">
        <f t="shared" si="4"/>
        <v>0.09</v>
      </c>
      <c r="CX3" s="12">
        <f t="shared" si="4"/>
        <v>0.09</v>
      </c>
      <c r="CY3" s="12">
        <f t="shared" si="4"/>
        <v>0.09</v>
      </c>
      <c r="CZ3" s="12">
        <f t="shared" si="4"/>
        <v>0.09</v>
      </c>
      <c r="DA3" s="12">
        <f t="shared" si="4"/>
        <v>0.09</v>
      </c>
    </row>
    <row r="4" spans="1:105" ht="24.75" thickBot="1" x14ac:dyDescent="0.45">
      <c r="A4" s="15" t="s">
        <v>127</v>
      </c>
      <c r="B4" s="16">
        <v>7.5</v>
      </c>
      <c r="C4" s="2"/>
      <c r="D4" s="2"/>
      <c r="E4" s="1" t="s">
        <v>126</v>
      </c>
      <c r="F4" s="14">
        <f>_xlfn.NORM.DIST(F3,AVERAGE($F$3:$DA$3),_xlfn.STDEV.S($F$3:$DA$3),TRUE)</f>
        <v>0.84012881275386331</v>
      </c>
      <c r="G4" s="14">
        <f t="shared" ref="G4:BR4" si="5">_xlfn.NORM.DIST(G3,AVERAGE($F$3:$DA$3),_xlfn.STDEV.S($F$3:$DA$3),TRUE)</f>
        <v>0.84012881275386331</v>
      </c>
      <c r="H4" s="14">
        <f t="shared" si="5"/>
        <v>0.84012881275386331</v>
      </c>
      <c r="I4" s="14">
        <f t="shared" si="5"/>
        <v>0.84012881275386331</v>
      </c>
      <c r="J4" s="14">
        <f t="shared" si="5"/>
        <v>0.84012881275386331</v>
      </c>
      <c r="K4" s="14">
        <f t="shared" si="5"/>
        <v>0.84012881275386331</v>
      </c>
      <c r="L4" s="14">
        <f t="shared" si="5"/>
        <v>0.84012881275386331</v>
      </c>
      <c r="M4" s="14">
        <f t="shared" si="5"/>
        <v>0.84012881275386331</v>
      </c>
      <c r="N4" s="14">
        <f t="shared" si="5"/>
        <v>0.84012881275386331</v>
      </c>
      <c r="O4" s="14">
        <f t="shared" si="5"/>
        <v>0.84012881275386331</v>
      </c>
      <c r="P4" s="14">
        <f t="shared" si="5"/>
        <v>0.84012881275386331</v>
      </c>
      <c r="Q4" s="14">
        <f t="shared" si="5"/>
        <v>0.84012881275386331</v>
      </c>
      <c r="R4" s="14">
        <f t="shared" si="5"/>
        <v>0.84012881275386331</v>
      </c>
      <c r="S4" s="14">
        <f t="shared" si="5"/>
        <v>0.84012881275386331</v>
      </c>
      <c r="T4" s="14">
        <f t="shared" si="5"/>
        <v>0.84012881275386331</v>
      </c>
      <c r="U4" s="14">
        <f t="shared" si="5"/>
        <v>0.84012881275386331</v>
      </c>
      <c r="V4" s="14">
        <f t="shared" si="5"/>
        <v>0.84012881275386331</v>
      </c>
      <c r="W4" s="14">
        <f t="shared" si="5"/>
        <v>0.84012881275386331</v>
      </c>
      <c r="X4" s="14">
        <f t="shared" si="5"/>
        <v>0.84012881275386331</v>
      </c>
      <c r="Y4" s="14">
        <f t="shared" si="5"/>
        <v>0.84012881275386331</v>
      </c>
      <c r="Z4" s="14">
        <f t="shared" si="5"/>
        <v>0.84012881275386331</v>
      </c>
      <c r="AA4" s="14">
        <f t="shared" si="5"/>
        <v>0.84012881275386331</v>
      </c>
      <c r="AB4" s="14">
        <f t="shared" si="5"/>
        <v>0.84012881275386331</v>
      </c>
      <c r="AC4" s="14">
        <f t="shared" si="5"/>
        <v>0.84012881275386331</v>
      </c>
      <c r="AD4" s="14">
        <f t="shared" si="5"/>
        <v>0.84012881275386331</v>
      </c>
      <c r="AE4" s="14">
        <f t="shared" si="5"/>
        <v>0.84012881275386331</v>
      </c>
      <c r="AF4" s="14">
        <f t="shared" si="5"/>
        <v>0.84012881275386331</v>
      </c>
      <c r="AG4" s="14">
        <f t="shared" si="5"/>
        <v>0.84012881275386331</v>
      </c>
      <c r="AH4" s="14">
        <f t="shared" si="5"/>
        <v>0.84012881275386331</v>
      </c>
      <c r="AI4" s="14">
        <f t="shared" si="5"/>
        <v>0.84012881275386331</v>
      </c>
      <c r="AJ4" s="14">
        <f t="shared" si="5"/>
        <v>0.84012881275386331</v>
      </c>
      <c r="AK4" s="14">
        <f t="shared" si="5"/>
        <v>0.84012881275386331</v>
      </c>
      <c r="AL4" s="14">
        <f t="shared" si="5"/>
        <v>0.84012881275386331</v>
      </c>
      <c r="AM4" s="14">
        <f t="shared" si="5"/>
        <v>0.84012881275386331</v>
      </c>
      <c r="AN4" s="14">
        <f t="shared" si="5"/>
        <v>0.84012881275386331</v>
      </c>
      <c r="AO4" s="14">
        <f t="shared" si="5"/>
        <v>0.84012881275386331</v>
      </c>
      <c r="AP4" s="14">
        <f t="shared" si="5"/>
        <v>0.84012881275386331</v>
      </c>
      <c r="AQ4" s="14">
        <f t="shared" si="5"/>
        <v>0.84012881275386331</v>
      </c>
      <c r="AR4" s="14">
        <f t="shared" si="5"/>
        <v>0.84012881275386331</v>
      </c>
      <c r="AS4" s="14">
        <f t="shared" si="5"/>
        <v>0.84012881275386331</v>
      </c>
      <c r="AT4" s="14">
        <f t="shared" si="5"/>
        <v>0.84012881275386331</v>
      </c>
      <c r="AU4" s="14">
        <f t="shared" si="5"/>
        <v>0.84012881275386331</v>
      </c>
      <c r="AV4" s="14">
        <f t="shared" si="5"/>
        <v>0.84012881275386331</v>
      </c>
      <c r="AW4" s="14">
        <f t="shared" si="5"/>
        <v>0.84012881275386331</v>
      </c>
      <c r="AX4" s="14">
        <f t="shared" si="5"/>
        <v>0.84012881275386331</v>
      </c>
      <c r="AY4" s="14">
        <f t="shared" si="5"/>
        <v>0.84012881275386331</v>
      </c>
      <c r="AZ4" s="14">
        <f t="shared" si="5"/>
        <v>0.84012881275386331</v>
      </c>
      <c r="BA4" s="14">
        <f t="shared" si="5"/>
        <v>0.84012881275386331</v>
      </c>
      <c r="BB4" s="14">
        <f t="shared" si="5"/>
        <v>0.84012881275386331</v>
      </c>
      <c r="BC4" s="14">
        <f t="shared" si="5"/>
        <v>0.84012881275386331</v>
      </c>
      <c r="BD4" s="14">
        <f t="shared" si="5"/>
        <v>0.84012881275386331</v>
      </c>
      <c r="BE4" s="14">
        <f t="shared" si="5"/>
        <v>0.84012881275386331</v>
      </c>
      <c r="BF4" s="14">
        <f t="shared" si="5"/>
        <v>0.84012881275386331</v>
      </c>
      <c r="BG4" s="14">
        <f t="shared" si="5"/>
        <v>0.84012881275386331</v>
      </c>
      <c r="BH4" s="14">
        <f t="shared" si="5"/>
        <v>0.84012881275386331</v>
      </c>
      <c r="BI4" s="14">
        <f t="shared" si="5"/>
        <v>0.84012881275386331</v>
      </c>
      <c r="BJ4" s="14">
        <f t="shared" si="5"/>
        <v>0.84012881275386331</v>
      </c>
      <c r="BK4" s="14">
        <f t="shared" si="5"/>
        <v>0.84012881275386331</v>
      </c>
      <c r="BL4" s="14">
        <f t="shared" si="5"/>
        <v>0.84012881275386331</v>
      </c>
      <c r="BM4" s="14">
        <f t="shared" si="5"/>
        <v>0.84012881275386331</v>
      </c>
      <c r="BN4" s="14">
        <f t="shared" si="5"/>
        <v>0.84012881275386331</v>
      </c>
      <c r="BO4" s="14">
        <f t="shared" si="5"/>
        <v>0.84012881275386331</v>
      </c>
      <c r="BP4" s="14">
        <f t="shared" si="5"/>
        <v>0.84012881275386331</v>
      </c>
      <c r="BQ4" s="14">
        <f t="shared" si="5"/>
        <v>0.84012881275386331</v>
      </c>
      <c r="BR4" s="14">
        <f t="shared" si="5"/>
        <v>0.84012881275386331</v>
      </c>
      <c r="BS4" s="14">
        <f t="shared" ref="BS4:DA4" si="6">_xlfn.NORM.DIST(BS3,AVERAGE($F$3:$DA$3),_xlfn.STDEV.S($F$3:$DA$3),TRUE)</f>
        <v>0.84012881275386331</v>
      </c>
      <c r="BT4" s="14">
        <f t="shared" si="6"/>
        <v>0.84012881275386331</v>
      </c>
      <c r="BU4" s="14">
        <f t="shared" si="6"/>
        <v>0.84012881275386331</v>
      </c>
      <c r="BV4" s="14">
        <f t="shared" si="6"/>
        <v>0.84012881275386331</v>
      </c>
      <c r="BW4" s="14">
        <f t="shared" si="6"/>
        <v>0.84012881275386331</v>
      </c>
      <c r="BX4" s="14">
        <f t="shared" si="6"/>
        <v>0.84012881275386331</v>
      </c>
      <c r="BY4" s="14">
        <f t="shared" si="6"/>
        <v>0.84012881275386331</v>
      </c>
      <c r="BZ4" s="14">
        <f t="shared" si="6"/>
        <v>0.84012881275386331</v>
      </c>
      <c r="CA4" s="14">
        <f t="shared" si="6"/>
        <v>0.84012881275386331</v>
      </c>
      <c r="CB4" s="14">
        <f t="shared" si="6"/>
        <v>0.84012881275386331</v>
      </c>
      <c r="CC4" s="14">
        <f t="shared" si="6"/>
        <v>0.84012881275386331</v>
      </c>
      <c r="CD4" s="14">
        <f t="shared" si="6"/>
        <v>0.84012881275386331</v>
      </c>
      <c r="CE4" s="14">
        <f t="shared" si="6"/>
        <v>0.84012881275386331</v>
      </c>
      <c r="CF4" s="14">
        <f t="shared" si="6"/>
        <v>0.84012881275386331</v>
      </c>
      <c r="CG4" s="14">
        <f t="shared" si="6"/>
        <v>0.84012881275386331</v>
      </c>
      <c r="CH4" s="14">
        <f t="shared" si="6"/>
        <v>0.84012881275386331</v>
      </c>
      <c r="CI4" s="14">
        <f t="shared" si="6"/>
        <v>0.84012881275386331</v>
      </c>
      <c r="CJ4" s="14">
        <f t="shared" si="6"/>
        <v>0.84012881275386331</v>
      </c>
      <c r="CK4" s="14">
        <f t="shared" si="6"/>
        <v>0.84012881275386331</v>
      </c>
      <c r="CL4" s="14">
        <f t="shared" si="6"/>
        <v>0.84012881275386331</v>
      </c>
      <c r="CM4" s="14">
        <f t="shared" si="6"/>
        <v>0.84012881275386331</v>
      </c>
      <c r="CN4" s="14">
        <f t="shared" si="6"/>
        <v>0.84012881275386331</v>
      </c>
      <c r="CO4" s="14">
        <f t="shared" si="6"/>
        <v>0.84012881275386331</v>
      </c>
      <c r="CP4" s="14">
        <f t="shared" si="6"/>
        <v>0.84012881275386331</v>
      </c>
      <c r="CQ4" s="14">
        <f t="shared" si="6"/>
        <v>0.84012881275386331</v>
      </c>
      <c r="CR4" s="14">
        <f t="shared" si="6"/>
        <v>0.84012881275386331</v>
      </c>
      <c r="CS4" s="14">
        <f t="shared" si="6"/>
        <v>0.84012881275386331</v>
      </c>
      <c r="CT4" s="14">
        <f t="shared" si="6"/>
        <v>0.84012881275386331</v>
      </c>
      <c r="CU4" s="14">
        <f t="shared" si="6"/>
        <v>0.84012881275386331</v>
      </c>
      <c r="CV4" s="14">
        <f t="shared" si="6"/>
        <v>0.84012881275386331</v>
      </c>
      <c r="CW4" s="14">
        <f t="shared" si="6"/>
        <v>0.84012881275386331</v>
      </c>
      <c r="CX4" s="14">
        <f t="shared" si="6"/>
        <v>0.84012881275386331</v>
      </c>
      <c r="CY4" s="14">
        <f t="shared" si="6"/>
        <v>0.84012881275386331</v>
      </c>
      <c r="CZ4" s="14">
        <f t="shared" si="6"/>
        <v>0.84012881275386331</v>
      </c>
      <c r="DA4" s="14">
        <f t="shared" si="6"/>
        <v>0.84012881275386331</v>
      </c>
    </row>
    <row r="5" spans="1:105" hidden="1" outlineLevel="1" x14ac:dyDescent="0.4">
      <c r="A5" s="2"/>
      <c r="B5" s="1"/>
      <c r="C5" s="10"/>
      <c r="D5" s="2"/>
      <c r="E5" s="1" t="s">
        <v>129</v>
      </c>
      <c r="F5" s="13">
        <f t="shared" ref="F5:AK5" si="7">_xlfn.RANK.EQ(F3,$F$3:$DA$3,1)</f>
        <v>1</v>
      </c>
      <c r="G5" s="13">
        <f t="shared" si="7"/>
        <v>1</v>
      </c>
      <c r="H5" s="13">
        <f t="shared" si="7"/>
        <v>1</v>
      </c>
      <c r="I5" s="13">
        <f t="shared" si="7"/>
        <v>1</v>
      </c>
      <c r="J5" s="13">
        <f t="shared" si="7"/>
        <v>1</v>
      </c>
      <c r="K5" s="13">
        <f t="shared" si="7"/>
        <v>1</v>
      </c>
      <c r="L5" s="13">
        <f t="shared" si="7"/>
        <v>1</v>
      </c>
      <c r="M5" s="13">
        <f t="shared" si="7"/>
        <v>1</v>
      </c>
      <c r="N5" s="13">
        <f t="shared" si="7"/>
        <v>1</v>
      </c>
      <c r="O5" s="13">
        <f t="shared" si="7"/>
        <v>1</v>
      </c>
      <c r="P5" s="13">
        <f t="shared" si="7"/>
        <v>1</v>
      </c>
      <c r="Q5" s="13">
        <f t="shared" si="7"/>
        <v>1</v>
      </c>
      <c r="R5" s="13">
        <f t="shared" si="7"/>
        <v>1</v>
      </c>
      <c r="S5" s="13">
        <f t="shared" si="7"/>
        <v>1</v>
      </c>
      <c r="T5" s="13">
        <f t="shared" si="7"/>
        <v>1</v>
      </c>
      <c r="U5" s="13">
        <f t="shared" si="7"/>
        <v>1</v>
      </c>
      <c r="V5" s="13">
        <f t="shared" si="7"/>
        <v>1</v>
      </c>
      <c r="W5" s="13">
        <f t="shared" si="7"/>
        <v>1</v>
      </c>
      <c r="X5" s="13">
        <f t="shared" si="7"/>
        <v>1</v>
      </c>
      <c r="Y5" s="13">
        <f t="shared" si="7"/>
        <v>1</v>
      </c>
      <c r="Z5" s="13">
        <f t="shared" si="7"/>
        <v>1</v>
      </c>
      <c r="AA5" s="13">
        <f t="shared" si="7"/>
        <v>1</v>
      </c>
      <c r="AB5" s="13">
        <f t="shared" si="7"/>
        <v>1</v>
      </c>
      <c r="AC5" s="13">
        <f t="shared" si="7"/>
        <v>1</v>
      </c>
      <c r="AD5" s="13">
        <f t="shared" si="7"/>
        <v>1</v>
      </c>
      <c r="AE5" s="13">
        <f t="shared" si="7"/>
        <v>1</v>
      </c>
      <c r="AF5" s="13">
        <f t="shared" si="7"/>
        <v>1</v>
      </c>
      <c r="AG5" s="13">
        <f t="shared" si="7"/>
        <v>1</v>
      </c>
      <c r="AH5" s="13">
        <f t="shared" si="7"/>
        <v>1</v>
      </c>
      <c r="AI5" s="13">
        <f t="shared" si="7"/>
        <v>1</v>
      </c>
      <c r="AJ5" s="13">
        <f t="shared" si="7"/>
        <v>1</v>
      </c>
      <c r="AK5" s="13">
        <f t="shared" si="7"/>
        <v>1</v>
      </c>
      <c r="AL5" s="13">
        <f t="shared" ref="AL5:BQ5" si="8">_xlfn.RANK.EQ(AL3,$F$3:$DA$3,1)</f>
        <v>1</v>
      </c>
      <c r="AM5" s="13">
        <f t="shared" si="8"/>
        <v>1</v>
      </c>
      <c r="AN5" s="13">
        <f t="shared" si="8"/>
        <v>1</v>
      </c>
      <c r="AO5" s="13">
        <f t="shared" si="8"/>
        <v>1</v>
      </c>
      <c r="AP5" s="13">
        <f t="shared" si="8"/>
        <v>1</v>
      </c>
      <c r="AQ5" s="13">
        <f t="shared" si="8"/>
        <v>1</v>
      </c>
      <c r="AR5" s="13">
        <f t="shared" si="8"/>
        <v>1</v>
      </c>
      <c r="AS5" s="13">
        <f t="shared" si="8"/>
        <v>1</v>
      </c>
      <c r="AT5" s="13">
        <f t="shared" si="8"/>
        <v>1</v>
      </c>
      <c r="AU5" s="13">
        <f t="shared" si="8"/>
        <v>1</v>
      </c>
      <c r="AV5" s="13">
        <f t="shared" si="8"/>
        <v>1</v>
      </c>
      <c r="AW5" s="13">
        <f t="shared" si="8"/>
        <v>1</v>
      </c>
      <c r="AX5" s="13">
        <f t="shared" si="8"/>
        <v>1</v>
      </c>
      <c r="AY5" s="13">
        <f t="shared" si="8"/>
        <v>1</v>
      </c>
      <c r="AZ5" s="13">
        <f t="shared" si="8"/>
        <v>1</v>
      </c>
      <c r="BA5" s="13">
        <f t="shared" si="8"/>
        <v>1</v>
      </c>
      <c r="BB5" s="13">
        <f t="shared" si="8"/>
        <v>1</v>
      </c>
      <c r="BC5" s="13">
        <f t="shared" si="8"/>
        <v>1</v>
      </c>
      <c r="BD5" s="13">
        <f t="shared" si="8"/>
        <v>1</v>
      </c>
      <c r="BE5" s="13">
        <f t="shared" si="8"/>
        <v>1</v>
      </c>
      <c r="BF5" s="13">
        <f t="shared" si="8"/>
        <v>1</v>
      </c>
      <c r="BG5" s="13">
        <f t="shared" si="8"/>
        <v>1</v>
      </c>
      <c r="BH5" s="13">
        <f t="shared" si="8"/>
        <v>1</v>
      </c>
      <c r="BI5" s="13">
        <f t="shared" si="8"/>
        <v>1</v>
      </c>
      <c r="BJ5" s="13">
        <f t="shared" si="8"/>
        <v>1</v>
      </c>
      <c r="BK5" s="13">
        <f t="shared" si="8"/>
        <v>1</v>
      </c>
      <c r="BL5" s="13">
        <f t="shared" si="8"/>
        <v>1</v>
      </c>
      <c r="BM5" s="13">
        <f t="shared" si="8"/>
        <v>1</v>
      </c>
      <c r="BN5" s="13">
        <f t="shared" si="8"/>
        <v>1</v>
      </c>
      <c r="BO5" s="13">
        <f t="shared" si="8"/>
        <v>1</v>
      </c>
      <c r="BP5" s="13">
        <f t="shared" si="8"/>
        <v>1</v>
      </c>
      <c r="BQ5" s="13">
        <f t="shared" si="8"/>
        <v>1</v>
      </c>
      <c r="BR5" s="13">
        <f t="shared" ref="BR5:DA5" si="9">_xlfn.RANK.EQ(BR3,$F$3:$DA$3,1)</f>
        <v>1</v>
      </c>
      <c r="BS5" s="13">
        <f t="shared" si="9"/>
        <v>1</v>
      </c>
      <c r="BT5" s="13">
        <f t="shared" si="9"/>
        <v>1</v>
      </c>
      <c r="BU5" s="13">
        <f t="shared" si="9"/>
        <v>1</v>
      </c>
      <c r="BV5" s="13">
        <f t="shared" si="9"/>
        <v>1</v>
      </c>
      <c r="BW5" s="13">
        <f t="shared" si="9"/>
        <v>1</v>
      </c>
      <c r="BX5" s="13">
        <f t="shared" si="9"/>
        <v>1</v>
      </c>
      <c r="BY5" s="13">
        <f t="shared" si="9"/>
        <v>1</v>
      </c>
      <c r="BZ5" s="13">
        <f t="shared" si="9"/>
        <v>1</v>
      </c>
      <c r="CA5" s="13">
        <f t="shared" si="9"/>
        <v>1</v>
      </c>
      <c r="CB5" s="13">
        <f t="shared" si="9"/>
        <v>1</v>
      </c>
      <c r="CC5" s="13">
        <f t="shared" si="9"/>
        <v>1</v>
      </c>
      <c r="CD5" s="13">
        <f t="shared" si="9"/>
        <v>1</v>
      </c>
      <c r="CE5" s="13">
        <f t="shared" si="9"/>
        <v>1</v>
      </c>
      <c r="CF5" s="13">
        <f t="shared" si="9"/>
        <v>1</v>
      </c>
      <c r="CG5" s="13">
        <f t="shared" si="9"/>
        <v>1</v>
      </c>
      <c r="CH5" s="13">
        <f t="shared" si="9"/>
        <v>1</v>
      </c>
      <c r="CI5" s="13">
        <f t="shared" si="9"/>
        <v>1</v>
      </c>
      <c r="CJ5" s="13">
        <f t="shared" si="9"/>
        <v>1</v>
      </c>
      <c r="CK5" s="13">
        <f t="shared" si="9"/>
        <v>1</v>
      </c>
      <c r="CL5" s="13">
        <f t="shared" si="9"/>
        <v>1</v>
      </c>
      <c r="CM5" s="13">
        <f t="shared" si="9"/>
        <v>1</v>
      </c>
      <c r="CN5" s="13">
        <f t="shared" si="9"/>
        <v>1</v>
      </c>
      <c r="CO5" s="13">
        <f t="shared" si="9"/>
        <v>1</v>
      </c>
      <c r="CP5" s="13">
        <f t="shared" si="9"/>
        <v>1</v>
      </c>
      <c r="CQ5" s="13">
        <f t="shared" si="9"/>
        <v>1</v>
      </c>
      <c r="CR5" s="13">
        <f t="shared" si="9"/>
        <v>1</v>
      </c>
      <c r="CS5" s="13">
        <f t="shared" si="9"/>
        <v>1</v>
      </c>
      <c r="CT5" s="13">
        <f t="shared" si="9"/>
        <v>1</v>
      </c>
      <c r="CU5" s="13">
        <f t="shared" si="9"/>
        <v>1</v>
      </c>
      <c r="CV5" s="13">
        <f t="shared" si="9"/>
        <v>1</v>
      </c>
      <c r="CW5" s="13">
        <f t="shared" si="9"/>
        <v>1</v>
      </c>
      <c r="CX5" s="13">
        <f t="shared" si="9"/>
        <v>1</v>
      </c>
      <c r="CY5" s="13">
        <f t="shared" si="9"/>
        <v>1</v>
      </c>
      <c r="CZ5" s="13">
        <f t="shared" si="9"/>
        <v>1</v>
      </c>
      <c r="DA5" s="13">
        <f t="shared" si="9"/>
        <v>1</v>
      </c>
    </row>
    <row r="6" spans="1:105" hidden="1" outlineLevel="1" x14ac:dyDescent="0.4">
      <c r="A6" s="2"/>
      <c r="B6" s="1"/>
      <c r="C6" s="10"/>
      <c r="D6" s="2"/>
      <c r="E6" s="1" t="s">
        <v>3</v>
      </c>
      <c r="F6" s="12">
        <f>(F5-0.5)/100</f>
        <v>5.0000000000000001E-3</v>
      </c>
      <c r="G6" s="12">
        <f t="shared" ref="G6:BR6" si="10">(G5-0.5)/100</f>
        <v>5.0000000000000001E-3</v>
      </c>
      <c r="H6" s="12">
        <f t="shared" si="10"/>
        <v>5.0000000000000001E-3</v>
      </c>
      <c r="I6" s="12">
        <f t="shared" si="10"/>
        <v>5.0000000000000001E-3</v>
      </c>
      <c r="J6" s="12">
        <f t="shared" si="10"/>
        <v>5.0000000000000001E-3</v>
      </c>
      <c r="K6" s="12">
        <f t="shared" si="10"/>
        <v>5.0000000000000001E-3</v>
      </c>
      <c r="L6" s="12">
        <f t="shared" si="10"/>
        <v>5.0000000000000001E-3</v>
      </c>
      <c r="M6" s="12">
        <f t="shared" si="10"/>
        <v>5.0000000000000001E-3</v>
      </c>
      <c r="N6" s="12">
        <f t="shared" si="10"/>
        <v>5.0000000000000001E-3</v>
      </c>
      <c r="O6" s="12">
        <f t="shared" si="10"/>
        <v>5.0000000000000001E-3</v>
      </c>
      <c r="P6" s="12">
        <f t="shared" si="10"/>
        <v>5.0000000000000001E-3</v>
      </c>
      <c r="Q6" s="12">
        <f t="shared" si="10"/>
        <v>5.0000000000000001E-3</v>
      </c>
      <c r="R6" s="12">
        <f t="shared" si="10"/>
        <v>5.0000000000000001E-3</v>
      </c>
      <c r="S6" s="12">
        <f t="shared" si="10"/>
        <v>5.0000000000000001E-3</v>
      </c>
      <c r="T6" s="12">
        <f t="shared" si="10"/>
        <v>5.0000000000000001E-3</v>
      </c>
      <c r="U6" s="12">
        <f t="shared" si="10"/>
        <v>5.0000000000000001E-3</v>
      </c>
      <c r="V6" s="12">
        <f t="shared" si="10"/>
        <v>5.0000000000000001E-3</v>
      </c>
      <c r="W6" s="12">
        <f t="shared" si="10"/>
        <v>5.0000000000000001E-3</v>
      </c>
      <c r="X6" s="12">
        <f t="shared" si="10"/>
        <v>5.0000000000000001E-3</v>
      </c>
      <c r="Y6" s="12">
        <f t="shared" si="10"/>
        <v>5.0000000000000001E-3</v>
      </c>
      <c r="Z6" s="12">
        <f t="shared" si="10"/>
        <v>5.0000000000000001E-3</v>
      </c>
      <c r="AA6" s="12">
        <f t="shared" si="10"/>
        <v>5.0000000000000001E-3</v>
      </c>
      <c r="AB6" s="12">
        <f t="shared" si="10"/>
        <v>5.0000000000000001E-3</v>
      </c>
      <c r="AC6" s="12">
        <f t="shared" si="10"/>
        <v>5.0000000000000001E-3</v>
      </c>
      <c r="AD6" s="12">
        <f t="shared" si="10"/>
        <v>5.0000000000000001E-3</v>
      </c>
      <c r="AE6" s="12">
        <f t="shared" si="10"/>
        <v>5.0000000000000001E-3</v>
      </c>
      <c r="AF6" s="12">
        <f t="shared" si="10"/>
        <v>5.0000000000000001E-3</v>
      </c>
      <c r="AG6" s="12">
        <f t="shared" si="10"/>
        <v>5.0000000000000001E-3</v>
      </c>
      <c r="AH6" s="12">
        <f t="shared" si="10"/>
        <v>5.0000000000000001E-3</v>
      </c>
      <c r="AI6" s="12">
        <f t="shared" si="10"/>
        <v>5.0000000000000001E-3</v>
      </c>
      <c r="AJ6" s="12">
        <f t="shared" si="10"/>
        <v>5.0000000000000001E-3</v>
      </c>
      <c r="AK6" s="12">
        <f t="shared" si="10"/>
        <v>5.0000000000000001E-3</v>
      </c>
      <c r="AL6" s="12">
        <f t="shared" si="10"/>
        <v>5.0000000000000001E-3</v>
      </c>
      <c r="AM6" s="12">
        <f t="shared" si="10"/>
        <v>5.0000000000000001E-3</v>
      </c>
      <c r="AN6" s="12">
        <f t="shared" si="10"/>
        <v>5.0000000000000001E-3</v>
      </c>
      <c r="AO6" s="12">
        <f t="shared" si="10"/>
        <v>5.0000000000000001E-3</v>
      </c>
      <c r="AP6" s="12">
        <f t="shared" si="10"/>
        <v>5.0000000000000001E-3</v>
      </c>
      <c r="AQ6" s="12">
        <f t="shared" si="10"/>
        <v>5.0000000000000001E-3</v>
      </c>
      <c r="AR6" s="12">
        <f t="shared" si="10"/>
        <v>5.0000000000000001E-3</v>
      </c>
      <c r="AS6" s="12">
        <f t="shared" si="10"/>
        <v>5.0000000000000001E-3</v>
      </c>
      <c r="AT6" s="12">
        <f t="shared" si="10"/>
        <v>5.0000000000000001E-3</v>
      </c>
      <c r="AU6" s="12">
        <f t="shared" si="10"/>
        <v>5.0000000000000001E-3</v>
      </c>
      <c r="AV6" s="12">
        <f t="shared" si="10"/>
        <v>5.0000000000000001E-3</v>
      </c>
      <c r="AW6" s="12">
        <f t="shared" si="10"/>
        <v>5.0000000000000001E-3</v>
      </c>
      <c r="AX6" s="12">
        <f t="shared" si="10"/>
        <v>5.0000000000000001E-3</v>
      </c>
      <c r="AY6" s="12">
        <f t="shared" si="10"/>
        <v>5.0000000000000001E-3</v>
      </c>
      <c r="AZ6" s="12">
        <f t="shared" si="10"/>
        <v>5.0000000000000001E-3</v>
      </c>
      <c r="BA6" s="12">
        <f t="shared" si="10"/>
        <v>5.0000000000000001E-3</v>
      </c>
      <c r="BB6" s="12">
        <f t="shared" si="10"/>
        <v>5.0000000000000001E-3</v>
      </c>
      <c r="BC6" s="12">
        <f t="shared" si="10"/>
        <v>5.0000000000000001E-3</v>
      </c>
      <c r="BD6" s="12">
        <f t="shared" si="10"/>
        <v>5.0000000000000001E-3</v>
      </c>
      <c r="BE6" s="12">
        <f t="shared" si="10"/>
        <v>5.0000000000000001E-3</v>
      </c>
      <c r="BF6" s="12">
        <f t="shared" si="10"/>
        <v>5.0000000000000001E-3</v>
      </c>
      <c r="BG6" s="12">
        <f t="shared" si="10"/>
        <v>5.0000000000000001E-3</v>
      </c>
      <c r="BH6" s="12">
        <f t="shared" si="10"/>
        <v>5.0000000000000001E-3</v>
      </c>
      <c r="BI6" s="12">
        <f t="shared" si="10"/>
        <v>5.0000000000000001E-3</v>
      </c>
      <c r="BJ6" s="12">
        <f t="shared" si="10"/>
        <v>5.0000000000000001E-3</v>
      </c>
      <c r="BK6" s="12">
        <f t="shared" si="10"/>
        <v>5.0000000000000001E-3</v>
      </c>
      <c r="BL6" s="12">
        <f t="shared" si="10"/>
        <v>5.0000000000000001E-3</v>
      </c>
      <c r="BM6" s="12">
        <f t="shared" si="10"/>
        <v>5.0000000000000001E-3</v>
      </c>
      <c r="BN6" s="12">
        <f t="shared" si="10"/>
        <v>5.0000000000000001E-3</v>
      </c>
      <c r="BO6" s="12">
        <f t="shared" si="10"/>
        <v>5.0000000000000001E-3</v>
      </c>
      <c r="BP6" s="12">
        <f t="shared" si="10"/>
        <v>5.0000000000000001E-3</v>
      </c>
      <c r="BQ6" s="12">
        <f t="shared" si="10"/>
        <v>5.0000000000000001E-3</v>
      </c>
      <c r="BR6" s="12">
        <f t="shared" si="10"/>
        <v>5.0000000000000001E-3</v>
      </c>
      <c r="BS6" s="12">
        <f t="shared" ref="BS6:DA6" si="11">(BS5-0.5)/100</f>
        <v>5.0000000000000001E-3</v>
      </c>
      <c r="BT6" s="12">
        <f t="shared" si="11"/>
        <v>5.0000000000000001E-3</v>
      </c>
      <c r="BU6" s="12">
        <f t="shared" si="11"/>
        <v>5.0000000000000001E-3</v>
      </c>
      <c r="BV6" s="12">
        <f t="shared" si="11"/>
        <v>5.0000000000000001E-3</v>
      </c>
      <c r="BW6" s="12">
        <f t="shared" si="11"/>
        <v>5.0000000000000001E-3</v>
      </c>
      <c r="BX6" s="12">
        <f t="shared" si="11"/>
        <v>5.0000000000000001E-3</v>
      </c>
      <c r="BY6" s="12">
        <f t="shared" si="11"/>
        <v>5.0000000000000001E-3</v>
      </c>
      <c r="BZ6" s="12">
        <f t="shared" si="11"/>
        <v>5.0000000000000001E-3</v>
      </c>
      <c r="CA6" s="12">
        <f t="shared" si="11"/>
        <v>5.0000000000000001E-3</v>
      </c>
      <c r="CB6" s="12">
        <f t="shared" si="11"/>
        <v>5.0000000000000001E-3</v>
      </c>
      <c r="CC6" s="12">
        <f t="shared" si="11"/>
        <v>5.0000000000000001E-3</v>
      </c>
      <c r="CD6" s="12">
        <f t="shared" si="11"/>
        <v>5.0000000000000001E-3</v>
      </c>
      <c r="CE6" s="12">
        <f t="shared" si="11"/>
        <v>5.0000000000000001E-3</v>
      </c>
      <c r="CF6" s="12">
        <f t="shared" si="11"/>
        <v>5.0000000000000001E-3</v>
      </c>
      <c r="CG6" s="12">
        <f t="shared" si="11"/>
        <v>5.0000000000000001E-3</v>
      </c>
      <c r="CH6" s="12">
        <f t="shared" si="11"/>
        <v>5.0000000000000001E-3</v>
      </c>
      <c r="CI6" s="12">
        <f t="shared" si="11"/>
        <v>5.0000000000000001E-3</v>
      </c>
      <c r="CJ6" s="12">
        <f t="shared" si="11"/>
        <v>5.0000000000000001E-3</v>
      </c>
      <c r="CK6" s="12">
        <f t="shared" si="11"/>
        <v>5.0000000000000001E-3</v>
      </c>
      <c r="CL6" s="12">
        <f t="shared" si="11"/>
        <v>5.0000000000000001E-3</v>
      </c>
      <c r="CM6" s="12">
        <f t="shared" si="11"/>
        <v>5.0000000000000001E-3</v>
      </c>
      <c r="CN6" s="12">
        <f t="shared" si="11"/>
        <v>5.0000000000000001E-3</v>
      </c>
      <c r="CO6" s="12">
        <f t="shared" si="11"/>
        <v>5.0000000000000001E-3</v>
      </c>
      <c r="CP6" s="12">
        <f t="shared" si="11"/>
        <v>5.0000000000000001E-3</v>
      </c>
      <c r="CQ6" s="12">
        <f t="shared" si="11"/>
        <v>5.0000000000000001E-3</v>
      </c>
      <c r="CR6" s="12">
        <f t="shared" si="11"/>
        <v>5.0000000000000001E-3</v>
      </c>
      <c r="CS6" s="12">
        <f t="shared" si="11"/>
        <v>5.0000000000000001E-3</v>
      </c>
      <c r="CT6" s="12">
        <f t="shared" si="11"/>
        <v>5.0000000000000001E-3</v>
      </c>
      <c r="CU6" s="12">
        <f t="shared" si="11"/>
        <v>5.0000000000000001E-3</v>
      </c>
      <c r="CV6" s="12">
        <f t="shared" si="11"/>
        <v>5.0000000000000001E-3</v>
      </c>
      <c r="CW6" s="12">
        <f t="shared" si="11"/>
        <v>5.0000000000000001E-3</v>
      </c>
      <c r="CX6" s="12">
        <f t="shared" si="11"/>
        <v>5.0000000000000001E-3</v>
      </c>
      <c r="CY6" s="12">
        <f t="shared" si="11"/>
        <v>5.0000000000000001E-3</v>
      </c>
      <c r="CZ6" s="12">
        <f t="shared" si="11"/>
        <v>5.0000000000000001E-3</v>
      </c>
      <c r="DA6" s="12">
        <f t="shared" si="11"/>
        <v>5.0000000000000001E-3</v>
      </c>
    </row>
    <row r="7" spans="1:105" collapsed="1" x14ac:dyDescent="0.4">
      <c r="A7" s="1" t="s">
        <v>106</v>
      </c>
      <c r="B7" s="1" t="s">
        <v>0</v>
      </c>
      <c r="C7" s="2" t="s">
        <v>107</v>
      </c>
      <c r="D7" s="2" t="s">
        <v>108</v>
      </c>
      <c r="E7" s="2" t="s">
        <v>109</v>
      </c>
      <c r="F7" s="12" t="s">
        <v>4</v>
      </c>
      <c r="G7" s="12" t="s">
        <v>5</v>
      </c>
      <c r="H7" s="12" t="s">
        <v>6</v>
      </c>
      <c r="I7" s="12" t="s">
        <v>7</v>
      </c>
      <c r="J7" s="12" t="s">
        <v>8</v>
      </c>
      <c r="K7" s="12" t="s">
        <v>9</v>
      </c>
      <c r="L7" s="12" t="s">
        <v>10</v>
      </c>
      <c r="M7" s="12" t="s">
        <v>11</v>
      </c>
      <c r="N7" s="12" t="s">
        <v>12</v>
      </c>
      <c r="O7" s="12" t="s">
        <v>13</v>
      </c>
      <c r="P7" s="12" t="s">
        <v>14</v>
      </c>
      <c r="Q7" s="12" t="s">
        <v>15</v>
      </c>
      <c r="R7" s="12" t="s">
        <v>16</v>
      </c>
      <c r="S7" s="12" t="s">
        <v>17</v>
      </c>
      <c r="T7" s="12" t="s">
        <v>18</v>
      </c>
      <c r="U7" s="12" t="s">
        <v>19</v>
      </c>
      <c r="V7" s="12" t="s">
        <v>20</v>
      </c>
      <c r="W7" s="12" t="s">
        <v>21</v>
      </c>
      <c r="X7" s="12" t="s">
        <v>22</v>
      </c>
      <c r="Y7" s="12" t="s">
        <v>23</v>
      </c>
      <c r="Z7" s="12" t="s">
        <v>24</v>
      </c>
      <c r="AA7" s="12" t="s">
        <v>25</v>
      </c>
      <c r="AB7" s="12" t="s">
        <v>26</v>
      </c>
      <c r="AC7" s="12" t="s">
        <v>27</v>
      </c>
      <c r="AD7" s="12" t="s">
        <v>28</v>
      </c>
      <c r="AE7" s="12" t="s">
        <v>29</v>
      </c>
      <c r="AF7" s="12" t="s">
        <v>30</v>
      </c>
      <c r="AG7" s="12" t="s">
        <v>31</v>
      </c>
      <c r="AH7" s="12" t="s">
        <v>32</v>
      </c>
      <c r="AI7" s="12" t="s">
        <v>33</v>
      </c>
      <c r="AJ7" s="12" t="s">
        <v>34</v>
      </c>
      <c r="AK7" s="12" t="s">
        <v>35</v>
      </c>
      <c r="AL7" s="12" t="s">
        <v>36</v>
      </c>
      <c r="AM7" s="12" t="s">
        <v>37</v>
      </c>
      <c r="AN7" s="12" t="s">
        <v>38</v>
      </c>
      <c r="AO7" s="12" t="s">
        <v>39</v>
      </c>
      <c r="AP7" s="12" t="s">
        <v>40</v>
      </c>
      <c r="AQ7" s="12" t="s">
        <v>41</v>
      </c>
      <c r="AR7" s="12" t="s">
        <v>42</v>
      </c>
      <c r="AS7" s="12" t="s">
        <v>43</v>
      </c>
      <c r="AT7" s="12" t="s">
        <v>44</v>
      </c>
      <c r="AU7" s="12" t="s">
        <v>45</v>
      </c>
      <c r="AV7" s="12" t="s">
        <v>46</v>
      </c>
      <c r="AW7" s="12" t="s">
        <v>47</v>
      </c>
      <c r="AX7" s="12" t="s">
        <v>48</v>
      </c>
      <c r="AY7" s="12" t="s">
        <v>49</v>
      </c>
      <c r="AZ7" s="12" t="s">
        <v>50</v>
      </c>
      <c r="BA7" s="12" t="s">
        <v>51</v>
      </c>
      <c r="BB7" s="12" t="s">
        <v>52</v>
      </c>
      <c r="BC7" s="12" t="s">
        <v>53</v>
      </c>
      <c r="BD7" s="12" t="s">
        <v>54</v>
      </c>
      <c r="BE7" s="12" t="s">
        <v>55</v>
      </c>
      <c r="BF7" s="12" t="s">
        <v>56</v>
      </c>
      <c r="BG7" s="12" t="s">
        <v>57</v>
      </c>
      <c r="BH7" s="12" t="s">
        <v>58</v>
      </c>
      <c r="BI7" s="12" t="s">
        <v>59</v>
      </c>
      <c r="BJ7" s="12" t="s">
        <v>60</v>
      </c>
      <c r="BK7" s="12" t="s">
        <v>61</v>
      </c>
      <c r="BL7" s="12" t="s">
        <v>62</v>
      </c>
      <c r="BM7" s="12" t="s">
        <v>63</v>
      </c>
      <c r="BN7" s="12" t="s">
        <v>64</v>
      </c>
      <c r="BO7" s="12" t="s">
        <v>65</v>
      </c>
      <c r="BP7" s="12" t="s">
        <v>66</v>
      </c>
      <c r="BQ7" s="12" t="s">
        <v>67</v>
      </c>
      <c r="BR7" s="12" t="s">
        <v>68</v>
      </c>
      <c r="BS7" s="12" t="s">
        <v>69</v>
      </c>
      <c r="BT7" s="12" t="s">
        <v>70</v>
      </c>
      <c r="BU7" s="12" t="s">
        <v>71</v>
      </c>
      <c r="BV7" s="12" t="s">
        <v>72</v>
      </c>
      <c r="BW7" s="12" t="s">
        <v>73</v>
      </c>
      <c r="BX7" s="12" t="s">
        <v>74</v>
      </c>
      <c r="BY7" s="12" t="s">
        <v>75</v>
      </c>
      <c r="BZ7" s="12" t="s">
        <v>76</v>
      </c>
      <c r="CA7" s="12" t="s">
        <v>77</v>
      </c>
      <c r="CB7" s="12" t="s">
        <v>78</v>
      </c>
      <c r="CC7" s="12" t="s">
        <v>79</v>
      </c>
      <c r="CD7" s="12" t="s">
        <v>80</v>
      </c>
      <c r="CE7" s="12" t="s">
        <v>81</v>
      </c>
      <c r="CF7" s="12" t="s">
        <v>82</v>
      </c>
      <c r="CG7" s="12" t="s">
        <v>83</v>
      </c>
      <c r="CH7" s="12" t="s">
        <v>84</v>
      </c>
      <c r="CI7" s="12" t="s">
        <v>85</v>
      </c>
      <c r="CJ7" s="12" t="s">
        <v>86</v>
      </c>
      <c r="CK7" s="12" t="s">
        <v>87</v>
      </c>
      <c r="CL7" s="12" t="s">
        <v>88</v>
      </c>
      <c r="CM7" s="12" t="s">
        <v>89</v>
      </c>
      <c r="CN7" s="12" t="s">
        <v>90</v>
      </c>
      <c r="CO7" s="12" t="s">
        <v>91</v>
      </c>
      <c r="CP7" s="12" t="s">
        <v>92</v>
      </c>
      <c r="CQ7" s="12" t="s">
        <v>93</v>
      </c>
      <c r="CR7" s="12" t="s">
        <v>94</v>
      </c>
      <c r="CS7" s="12" t="s">
        <v>95</v>
      </c>
      <c r="CT7" s="12" t="s">
        <v>96</v>
      </c>
      <c r="CU7" s="12" t="s">
        <v>97</v>
      </c>
      <c r="CV7" s="12" t="s">
        <v>98</v>
      </c>
      <c r="CW7" s="12" t="s">
        <v>99</v>
      </c>
      <c r="CX7" s="12" t="s">
        <v>100</v>
      </c>
      <c r="CY7" s="12" t="s">
        <v>101</v>
      </c>
      <c r="CZ7" s="12" t="s">
        <v>102</v>
      </c>
      <c r="DA7" s="12" t="s">
        <v>103</v>
      </c>
    </row>
    <row r="8" spans="1:105" ht="36" x14ac:dyDescent="0.4">
      <c r="A8" s="1">
        <v>3</v>
      </c>
      <c r="B8" s="21">
        <f>IF(A8&lt;&gt;"",VLOOKUP(A8,Tasks!B:G,2,FALSE),"")</f>
        <v>1</v>
      </c>
      <c r="C8" s="20" t="str">
        <f>IF(A8&lt;&gt;"",VLOOKUP(A8,Tasks!B:G,4,FALSE),"")</f>
        <v>YetAnother Sample Task</v>
      </c>
      <c r="D8" s="20">
        <f>IF(A8&lt;&gt;"",VLOOKUP(A8,Tasks!B:G,5,FALSE),"")</f>
        <v>3</v>
      </c>
      <c r="E8" s="21">
        <f>IF(A8&lt;&gt;"",VLOOKUP(A8,Tasks!B:G,6,FALSE),"")</f>
        <v>0.5</v>
      </c>
      <c r="F8" s="28">
        <f>0.5/0.8</f>
        <v>0.625</v>
      </c>
      <c r="G8" s="28">
        <f>0.5/0.8</f>
        <v>0.625</v>
      </c>
      <c r="H8" s="28">
        <f>0.5/0.8</f>
        <v>0.625</v>
      </c>
      <c r="I8" s="28">
        <f>0.5/0.8</f>
        <v>0.625</v>
      </c>
      <c r="J8" s="28">
        <f>0.5/0.8</f>
        <v>0.625</v>
      </c>
      <c r="K8" s="28">
        <f>0.5/0.8</f>
        <v>0.625</v>
      </c>
      <c r="L8" s="28">
        <f>0.5/0.8</f>
        <v>0.625</v>
      </c>
      <c r="M8" s="28">
        <f>0.5/0.8</f>
        <v>0.625</v>
      </c>
      <c r="N8" s="28">
        <f>0.5/0.8</f>
        <v>0.625</v>
      </c>
      <c r="O8" s="28">
        <f>0.5/0.8</f>
        <v>0.625</v>
      </c>
      <c r="P8" s="28">
        <f>0.5/0.8</f>
        <v>0.625</v>
      </c>
      <c r="Q8" s="28">
        <f>0.5/0.8</f>
        <v>0.625</v>
      </c>
      <c r="R8" s="28">
        <f>0.5/0.8</f>
        <v>0.625</v>
      </c>
      <c r="S8" s="28">
        <f>0.5/0.8</f>
        <v>0.625</v>
      </c>
      <c r="T8" s="28">
        <f>0.5/0.8</f>
        <v>0.625</v>
      </c>
      <c r="U8" s="28">
        <f>0.5/0.8</f>
        <v>0.625</v>
      </c>
      <c r="V8" s="28">
        <f>0.5/0.8</f>
        <v>0.625</v>
      </c>
      <c r="W8" s="28">
        <f>0.5/0.8</f>
        <v>0.625</v>
      </c>
      <c r="X8" s="28">
        <f>0.5/0.8</f>
        <v>0.625</v>
      </c>
      <c r="Y8" s="28">
        <f>0.5/0.8</f>
        <v>0.625</v>
      </c>
      <c r="Z8" s="28">
        <f>0.5/0.8</f>
        <v>0.625</v>
      </c>
      <c r="AA8" s="28">
        <f>0.5/0.8</f>
        <v>0.625</v>
      </c>
      <c r="AB8" s="28">
        <f>0.5/0.8</f>
        <v>0.625</v>
      </c>
      <c r="AC8" s="28">
        <f>0.5/0.8</f>
        <v>0.625</v>
      </c>
      <c r="AD8" s="28">
        <f>0.5/0.8</f>
        <v>0.625</v>
      </c>
      <c r="AE8" s="28">
        <f>0.5/0.8</f>
        <v>0.625</v>
      </c>
      <c r="AF8" s="28">
        <f>0.5/0.8</f>
        <v>0.625</v>
      </c>
      <c r="AG8" s="28">
        <f>0.5/0.8</f>
        <v>0.625</v>
      </c>
      <c r="AH8" s="28">
        <f>0.5/0.8</f>
        <v>0.625</v>
      </c>
      <c r="AI8" s="28">
        <f>0.5/0.8</f>
        <v>0.625</v>
      </c>
      <c r="AJ8" s="28">
        <f>0.5/0.8</f>
        <v>0.625</v>
      </c>
      <c r="AK8" s="28">
        <f>0.5/0.8</f>
        <v>0.625</v>
      </c>
      <c r="AL8" s="28">
        <f>0.5/0.8</f>
        <v>0.625</v>
      </c>
      <c r="AM8" s="28">
        <f>0.5/0.8</f>
        <v>0.625</v>
      </c>
      <c r="AN8" s="28">
        <f>0.5/0.8</f>
        <v>0.625</v>
      </c>
      <c r="AO8" s="28">
        <f>0.5/0.8</f>
        <v>0.625</v>
      </c>
      <c r="AP8" s="28">
        <f>0.5/0.8</f>
        <v>0.625</v>
      </c>
      <c r="AQ8" s="28">
        <f>0.5/0.8</f>
        <v>0.625</v>
      </c>
      <c r="AR8" s="28">
        <f>0.5/0.8</f>
        <v>0.625</v>
      </c>
      <c r="AS8" s="28">
        <f>0.5/0.8</f>
        <v>0.625</v>
      </c>
      <c r="AT8" s="28">
        <f>0.5/0.8</f>
        <v>0.625</v>
      </c>
      <c r="AU8" s="28">
        <f>0.5/0.8</f>
        <v>0.625</v>
      </c>
      <c r="AV8" s="28">
        <f>0.5/0.8</f>
        <v>0.625</v>
      </c>
      <c r="AW8" s="28">
        <f>0.5/0.8</f>
        <v>0.625</v>
      </c>
      <c r="AX8" s="28">
        <f>0.5/0.8</f>
        <v>0.625</v>
      </c>
      <c r="AY8" s="28">
        <f>0.5/0.8</f>
        <v>0.625</v>
      </c>
      <c r="AZ8" s="28">
        <f>0.5/0.8</f>
        <v>0.625</v>
      </c>
      <c r="BA8" s="28">
        <f>0.5/0.8</f>
        <v>0.625</v>
      </c>
      <c r="BB8" s="28">
        <f>0.5/0.8</f>
        <v>0.625</v>
      </c>
      <c r="BC8" s="28">
        <f>0.5/0.8</f>
        <v>0.625</v>
      </c>
      <c r="BD8" s="28">
        <f>0.5/0.8</f>
        <v>0.625</v>
      </c>
      <c r="BE8" s="28">
        <f>0.5/0.8</f>
        <v>0.625</v>
      </c>
      <c r="BF8" s="28">
        <f>0.5/0.8</f>
        <v>0.625</v>
      </c>
      <c r="BG8" s="28">
        <f>0.5/0.8</f>
        <v>0.625</v>
      </c>
      <c r="BH8" s="28">
        <f>0.5/0.8</f>
        <v>0.625</v>
      </c>
      <c r="BI8" s="28">
        <f>0.5/0.8</f>
        <v>0.625</v>
      </c>
      <c r="BJ8" s="28">
        <f>0.5/0.8</f>
        <v>0.625</v>
      </c>
      <c r="BK8" s="28">
        <f>0.5/0.8</f>
        <v>0.625</v>
      </c>
      <c r="BL8" s="28">
        <f>0.5/0.8</f>
        <v>0.625</v>
      </c>
      <c r="BM8" s="28">
        <f>0.5/0.8</f>
        <v>0.625</v>
      </c>
      <c r="BN8" s="28">
        <f>0.5/0.8</f>
        <v>0.625</v>
      </c>
      <c r="BO8" s="28">
        <f>0.5/0.8</f>
        <v>0.625</v>
      </c>
      <c r="BP8" s="28">
        <f>0.5/0.8</f>
        <v>0.625</v>
      </c>
      <c r="BQ8" s="28">
        <f>0.5/0.8</f>
        <v>0.625</v>
      </c>
      <c r="BR8" s="28">
        <f>0.5/0.8</f>
        <v>0.625</v>
      </c>
      <c r="BS8" s="28">
        <f>0.5/0.8</f>
        <v>0.625</v>
      </c>
      <c r="BT8" s="28">
        <f>0.5/0.8</f>
        <v>0.625</v>
      </c>
      <c r="BU8" s="28">
        <f>0.5/0.8</f>
        <v>0.625</v>
      </c>
      <c r="BV8" s="28">
        <f>0.5/0.8</f>
        <v>0.625</v>
      </c>
      <c r="BW8" s="28">
        <f>0.5/0.8</f>
        <v>0.625</v>
      </c>
      <c r="BX8" s="28">
        <f>0.5/0.8</f>
        <v>0.625</v>
      </c>
      <c r="BY8" s="28">
        <f>0.5/0.8</f>
        <v>0.625</v>
      </c>
      <c r="BZ8" s="28">
        <f>0.5/0.8</f>
        <v>0.625</v>
      </c>
      <c r="CA8" s="28">
        <f>0.5/0.8</f>
        <v>0.625</v>
      </c>
      <c r="CB8" s="28">
        <f>0.5/0.8</f>
        <v>0.625</v>
      </c>
      <c r="CC8" s="28">
        <f>0.5/0.8</f>
        <v>0.625</v>
      </c>
      <c r="CD8" s="28">
        <f>0.5/0.8</f>
        <v>0.625</v>
      </c>
      <c r="CE8" s="28">
        <f>0.5/0.8</f>
        <v>0.625</v>
      </c>
      <c r="CF8" s="28">
        <f>0.5/0.8</f>
        <v>0.625</v>
      </c>
      <c r="CG8" s="28">
        <f>0.5/0.8</f>
        <v>0.625</v>
      </c>
      <c r="CH8" s="28">
        <f>0.5/0.8</f>
        <v>0.625</v>
      </c>
      <c r="CI8" s="28">
        <f>0.5/0.8</f>
        <v>0.625</v>
      </c>
      <c r="CJ8" s="28">
        <f>0.5/0.8</f>
        <v>0.625</v>
      </c>
      <c r="CK8" s="28">
        <f>0.5/0.8</f>
        <v>0.625</v>
      </c>
      <c r="CL8" s="28">
        <f>0.5/0.8</f>
        <v>0.625</v>
      </c>
      <c r="CM8" s="28">
        <f>0.5/0.8</f>
        <v>0.625</v>
      </c>
      <c r="CN8" s="28">
        <f>0.5/0.8</f>
        <v>0.625</v>
      </c>
      <c r="CO8" s="28">
        <f>0.5/0.8</f>
        <v>0.625</v>
      </c>
      <c r="CP8" s="28">
        <f>0.5/0.8</f>
        <v>0.625</v>
      </c>
      <c r="CQ8" s="28">
        <f>0.5/0.8</f>
        <v>0.625</v>
      </c>
      <c r="CR8" s="28">
        <f>0.5/0.8</f>
        <v>0.625</v>
      </c>
      <c r="CS8" s="28">
        <f>0.5/0.8</f>
        <v>0.625</v>
      </c>
      <c r="CT8" s="28">
        <f>0.5/0.8</f>
        <v>0.625</v>
      </c>
      <c r="CU8" s="28">
        <f>0.5/0.8</f>
        <v>0.625</v>
      </c>
      <c r="CV8" s="28">
        <f>0.5/0.8</f>
        <v>0.625</v>
      </c>
      <c r="CW8" s="28">
        <f>0.5/0.8</f>
        <v>0.625</v>
      </c>
      <c r="CX8" s="28">
        <f>0.5/0.8</f>
        <v>0.625</v>
      </c>
      <c r="CY8" s="28">
        <f>0.5/0.8</f>
        <v>0.625</v>
      </c>
      <c r="CZ8" s="28">
        <f>0.5/0.8</f>
        <v>0.625</v>
      </c>
      <c r="DA8" s="28">
        <f>0.5/0.8</f>
        <v>0.625</v>
      </c>
    </row>
    <row r="9" spans="1:105" ht="36" x14ac:dyDescent="0.4">
      <c r="B9" s="21" t="str">
        <f>IF(A9&lt;&gt;"",VLOOKUP(A9,Tasks!B:G,2,FALSE),"")</f>
        <v/>
      </c>
      <c r="C9" s="20" t="str">
        <f>IF(A9&lt;&gt;"",VLOOKUP(A9,Tasks!B:G,4,FALSE),"")</f>
        <v/>
      </c>
      <c r="D9" s="20" t="str">
        <f>IF(A9&lt;&gt;"",VLOOKUP(A9,Tasks!B:G,5,FALSE),"")</f>
        <v/>
      </c>
      <c r="E9" s="21" t="str">
        <f>IF(A9&lt;&gt;"",VLOOKUP(A9,Tasks!B:G,6,FALSE),"")</f>
        <v/>
      </c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</row>
    <row r="10" spans="1:105" ht="36" x14ac:dyDescent="0.4">
      <c r="B10" s="21" t="str">
        <f>IF(A10&lt;&gt;"",VLOOKUP(A10,Tasks!B:G,2,FALSE),"")</f>
        <v/>
      </c>
      <c r="C10" s="20" t="str">
        <f>IF(A10&lt;&gt;"",VLOOKUP(A10,Tasks!B:G,4,FALSE),"")</f>
        <v/>
      </c>
      <c r="D10" s="20" t="str">
        <f>IF(A10&lt;&gt;"",VLOOKUP(A10,Tasks!B:G,5,FALSE),"")</f>
        <v/>
      </c>
      <c r="E10" s="21" t="str">
        <f>IF(A10&lt;&gt;"",VLOOKUP(A10,Tasks!B:G,6,FALSE),"")</f>
        <v/>
      </c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</row>
    <row r="11" spans="1:105" ht="24" x14ac:dyDescent="0.4">
      <c r="B11" s="21" t="str">
        <f>IF(A11&lt;&gt;"",VLOOKUP(A11,Tasks!B:G,2,FALSE),"")</f>
        <v/>
      </c>
      <c r="C11" s="20" t="str">
        <f>IF(A11&lt;&gt;"",VLOOKUP(A11,Tasks!B:G,4,FALSE),"")</f>
        <v/>
      </c>
      <c r="D11" s="20" t="str">
        <f>IF(A11&lt;&gt;"",VLOOKUP(A11,Tasks!B:G,5,FALSE),"")</f>
        <v/>
      </c>
      <c r="E11" s="21" t="str">
        <f>IF(A11&lt;&gt;"",VLOOKUP(A11,Tasks!B:G,6,FALSE),"")</f>
        <v/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</row>
    <row r="12" spans="1:105" ht="24" x14ac:dyDescent="0.4">
      <c r="B12" s="21" t="str">
        <f>IF(A12&lt;&gt;"",VLOOKUP(A12,Tasks!B:G,2,FALSE),"")</f>
        <v/>
      </c>
      <c r="C12" s="20" t="str">
        <f>IF(A12&lt;&gt;"",VLOOKUP(A12,Tasks!B:G,4,FALSE),"")</f>
        <v/>
      </c>
      <c r="D12" s="20" t="str">
        <f>IF(A12&lt;&gt;"",VLOOKUP(A12,Tasks!B:G,5,FALSE),"")</f>
        <v/>
      </c>
      <c r="E12" s="21" t="str">
        <f>IF(A12&lt;&gt;"",VLOOKUP(A12,Tasks!B:G,6,FALSE),"")</f>
        <v/>
      </c>
    </row>
    <row r="13" spans="1:105" x14ac:dyDescent="0.4">
      <c r="B13" s="21" t="str">
        <f>IF(A13&lt;&gt;"",VLOOKUP(A13,Tasks!B:G,2,FALSE),"")</f>
        <v/>
      </c>
      <c r="C13" s="20" t="str">
        <f>IF(A13&lt;&gt;"",VLOOKUP(A13,Tasks!B:G,4,FALSE),"")</f>
        <v/>
      </c>
      <c r="D13" s="20" t="str">
        <f>IF(A13&lt;&gt;"",VLOOKUP(A13,Tasks!B:G,5,FALSE),"")</f>
        <v/>
      </c>
      <c r="E13" s="21" t="str">
        <f>IF(A13&lt;&gt;"",VLOOKUP(A13,Tasks!B:G,6,FALSE),"")</f>
        <v/>
      </c>
    </row>
    <row r="14" spans="1:105" x14ac:dyDescent="0.4">
      <c r="B14" s="21" t="str">
        <f>IF(A14&lt;&gt;"",VLOOKUP(A14,Tasks!B:G,2,FALSE),"")</f>
        <v/>
      </c>
      <c r="C14" s="20" t="str">
        <f>IF(A14&lt;&gt;"",VLOOKUP(A14,Tasks!B:G,4,FALSE),"")</f>
        <v/>
      </c>
      <c r="D14" s="20" t="str">
        <f>IF(A14&lt;&gt;"",VLOOKUP(A14,Tasks!B:G,5,FALSE),"")</f>
        <v/>
      </c>
      <c r="E14" s="21" t="str">
        <f>IF(A14&lt;&gt;"",VLOOKUP(A14,Tasks!B:G,6,FALSE),"")</f>
        <v/>
      </c>
    </row>
    <row r="15" spans="1:105" x14ac:dyDescent="0.4">
      <c r="B15" s="21" t="str">
        <f>IF(A15&lt;&gt;"",VLOOKUP(A15,Tasks!B:G,2,FALSE),"")</f>
        <v/>
      </c>
      <c r="C15" s="20" t="str">
        <f>IF(A15&lt;&gt;"",VLOOKUP(A15,Tasks!B:G,4,FALSE),"")</f>
        <v/>
      </c>
      <c r="D15" s="20" t="str">
        <f>IF(A15&lt;&gt;"",VLOOKUP(A15,Tasks!B:G,5,FALSE),"")</f>
        <v/>
      </c>
      <c r="E15" s="21" t="str">
        <f>IF(A15&lt;&gt;"",VLOOKUP(A15,Tasks!B:G,6,FALSE),"")</f>
        <v/>
      </c>
    </row>
    <row r="16" spans="1:105" x14ac:dyDescent="0.4">
      <c r="B16" s="21" t="str">
        <f>IF(A16&lt;&gt;"",VLOOKUP(A16,Tasks!B:G,2,FALSE),"")</f>
        <v/>
      </c>
      <c r="C16" s="20" t="str">
        <f>IF(A16&lt;&gt;"",VLOOKUP(A16,Tasks!B:G,4,FALSE),"")</f>
        <v/>
      </c>
      <c r="D16" s="20" t="str">
        <f>IF(A16&lt;&gt;"",VLOOKUP(A16,Tasks!B:G,5,FALSE),"")</f>
        <v/>
      </c>
      <c r="E16" s="21" t="str">
        <f>IF(A16&lt;&gt;"",VLOOKUP(A16,Tasks!B:G,6,FALSE),"")</f>
        <v/>
      </c>
    </row>
    <row r="17" spans="2:5" x14ac:dyDescent="0.4">
      <c r="B17" s="21" t="str">
        <f>IF(A17&lt;&gt;"",VLOOKUP(A17,Tasks!B:G,2,FALSE),"")</f>
        <v/>
      </c>
      <c r="C17" s="20" t="str">
        <f>IF(A17&lt;&gt;"",VLOOKUP(A17,Tasks!B:G,4,FALSE),"")</f>
        <v/>
      </c>
      <c r="D17" s="20" t="str">
        <f>IF(A17&lt;&gt;"",VLOOKUP(A17,Tasks!B:G,5,FALSE),"")</f>
        <v/>
      </c>
      <c r="E17" s="21" t="str">
        <f>IF(A17&lt;&gt;"",VLOOKUP(A17,Tasks!B:G,6,FALSE),"")</f>
        <v/>
      </c>
    </row>
    <row r="18" spans="2:5" x14ac:dyDescent="0.4">
      <c r="B18" s="21" t="str">
        <f>IF(A18&lt;&gt;"",VLOOKUP(A18,Tasks!B:G,2,FALSE),"")</f>
        <v/>
      </c>
      <c r="C18" s="20" t="str">
        <f>IF(A18&lt;&gt;"",VLOOKUP(A18,Tasks!B:G,4,FALSE),"")</f>
        <v/>
      </c>
      <c r="D18" s="20" t="str">
        <f>IF(A18&lt;&gt;"",VLOOKUP(A18,Tasks!B:G,5,FALSE),"")</f>
        <v/>
      </c>
      <c r="E18" s="21" t="str">
        <f>IF(A18&lt;&gt;"",VLOOKUP(A18,Tasks!B:G,6,FALSE),"")</f>
        <v/>
      </c>
    </row>
    <row r="19" spans="2:5" x14ac:dyDescent="0.4">
      <c r="B19" s="21" t="str">
        <f>IF(A19&lt;&gt;"",VLOOKUP(A19,Tasks!B:G,2,FALSE),"")</f>
        <v/>
      </c>
      <c r="C19" s="20" t="str">
        <f>IF(A19&lt;&gt;"",VLOOKUP(A19,Tasks!B:G,4,FALSE),"")</f>
        <v/>
      </c>
      <c r="D19" s="20" t="str">
        <f>IF(A19&lt;&gt;"",VLOOKUP(A19,Tasks!B:G,5,FALSE),"")</f>
        <v/>
      </c>
      <c r="E19" s="21" t="str">
        <f>IF(A19&lt;&gt;"",VLOOKUP(A19,Tasks!B:G,6,FALSE),"")</f>
        <v/>
      </c>
    </row>
    <row r="20" spans="2:5" x14ac:dyDescent="0.4">
      <c r="B20" s="21" t="str">
        <f>IF(A20&lt;&gt;"",VLOOKUP(A20,Tasks!B:G,2,FALSE),"")</f>
        <v/>
      </c>
      <c r="C20" s="20" t="str">
        <f>IF(A20&lt;&gt;"",VLOOKUP(A20,Tasks!B:G,4,FALSE),"")</f>
        <v/>
      </c>
      <c r="D20" s="20" t="str">
        <f>IF(A20&lt;&gt;"",VLOOKUP(A20,Tasks!B:G,5,FALSE),"")</f>
        <v/>
      </c>
      <c r="E20" s="21" t="str">
        <f>IF(A20&lt;&gt;"",VLOOKUP(A20,Tasks!B:G,6,FALSE),"")</f>
        <v/>
      </c>
    </row>
    <row r="21" spans="2:5" x14ac:dyDescent="0.4">
      <c r="B21" s="21" t="str">
        <f>IF(A21&lt;&gt;"",VLOOKUP(A21,Tasks!B:G,2,FALSE),"")</f>
        <v/>
      </c>
      <c r="C21" s="20" t="str">
        <f>IF(A21&lt;&gt;"",VLOOKUP(A21,Tasks!B:G,4,FALSE),"")</f>
        <v/>
      </c>
      <c r="D21" s="20" t="str">
        <f>IF(A21&lt;&gt;"",VLOOKUP(A21,Tasks!B:G,5,FALSE),"")</f>
        <v/>
      </c>
      <c r="E21" s="21" t="str">
        <f>IF(A21&lt;&gt;"",VLOOKUP(A21,Tasks!B:G,6,FALSE),"")</f>
        <v/>
      </c>
    </row>
    <row r="22" spans="2:5" x14ac:dyDescent="0.4">
      <c r="B22" s="21" t="str">
        <f>IF(A22&lt;&gt;"",VLOOKUP(A22,Tasks!B:G,2,FALSE),"")</f>
        <v/>
      </c>
      <c r="C22" s="20" t="str">
        <f>IF(A22&lt;&gt;"",VLOOKUP(A22,Tasks!B:G,4,FALSE),"")</f>
        <v/>
      </c>
      <c r="D22" s="20" t="str">
        <f>IF(A22&lt;&gt;"",VLOOKUP(A22,Tasks!B:G,5,FALSE),"")</f>
        <v/>
      </c>
      <c r="E22" s="21" t="str">
        <f>IF(A22&lt;&gt;"",VLOOKUP(A22,Tasks!B:G,6,FALSE),"")</f>
        <v/>
      </c>
    </row>
    <row r="23" spans="2:5" x14ac:dyDescent="0.4">
      <c r="B23" s="21" t="str">
        <f>IF(A23&lt;&gt;"",VLOOKUP(A23,Tasks!B:G,2,FALSE),"")</f>
        <v/>
      </c>
      <c r="C23" s="20" t="str">
        <f>IF(A23&lt;&gt;"",VLOOKUP(A23,Tasks!B:G,4,FALSE),"")</f>
        <v/>
      </c>
      <c r="D23" s="20" t="str">
        <f>IF(A23&lt;&gt;"",VLOOKUP(A23,Tasks!B:G,5,FALSE),"")</f>
        <v/>
      </c>
      <c r="E23" s="21" t="str">
        <f>IF(A23&lt;&gt;"",VLOOKUP(A23,Tasks!B:G,6,FALSE),"")</f>
        <v/>
      </c>
    </row>
    <row r="24" spans="2:5" x14ac:dyDescent="0.4">
      <c r="B24" s="21" t="str">
        <f>IF(A24&lt;&gt;"",VLOOKUP(A24,Tasks!B:G,2,FALSE),"")</f>
        <v/>
      </c>
      <c r="C24" s="20" t="str">
        <f>IF(A24&lt;&gt;"",VLOOKUP(A24,Tasks!B:G,4,FALSE),"")</f>
        <v/>
      </c>
      <c r="D24" s="20" t="str">
        <f>IF(A24&lt;&gt;"",VLOOKUP(A24,Tasks!B:G,5,FALSE),"")</f>
        <v/>
      </c>
      <c r="E24" s="21" t="str">
        <f>IF(A24&lt;&gt;"",VLOOKUP(A24,Tasks!B:G,6,FALSE),"")</f>
        <v/>
      </c>
    </row>
    <row r="25" spans="2:5" x14ac:dyDescent="0.4">
      <c r="B25" s="21" t="str">
        <f>IF(A25&lt;&gt;"",VLOOKUP(A25,Tasks!B:G,2,FALSE),"")</f>
        <v/>
      </c>
      <c r="C25" s="20" t="str">
        <f>IF(A25&lt;&gt;"",VLOOKUP(A25,Tasks!B:G,4,FALSE),"")</f>
        <v/>
      </c>
      <c r="D25" s="20" t="str">
        <f>IF(A25&lt;&gt;"",VLOOKUP(A25,Tasks!B:G,5,FALSE),"")</f>
        <v/>
      </c>
      <c r="E25" s="21" t="str">
        <f>IF(A25&lt;&gt;"",VLOOKUP(A25,Tasks!B:G,6,FALSE),"")</f>
        <v/>
      </c>
    </row>
    <row r="26" spans="2:5" x14ac:dyDescent="0.4">
      <c r="B26" s="21" t="str">
        <f>IF(A26&lt;&gt;"",VLOOKUP(A26,Tasks!B:G,2,FALSE),"")</f>
        <v/>
      </c>
      <c r="C26" s="20" t="str">
        <f>IF(A26&lt;&gt;"",VLOOKUP(A26,Tasks!B:G,4,FALSE),"")</f>
        <v/>
      </c>
      <c r="D26" s="20" t="str">
        <f>IF(A26&lt;&gt;"",VLOOKUP(A26,Tasks!B:G,5,FALSE),"")</f>
        <v/>
      </c>
      <c r="E26" s="21" t="str">
        <f>IF(A26&lt;&gt;"",VLOOKUP(A26,Tasks!B:G,6,FALSE),"")</f>
        <v/>
      </c>
    </row>
    <row r="27" spans="2:5" x14ac:dyDescent="0.4">
      <c r="B27" s="21" t="str">
        <f>IF(A27&lt;&gt;"",VLOOKUP(A27,Tasks!B:G,2,FALSE),"")</f>
        <v/>
      </c>
      <c r="C27" s="20" t="str">
        <f>IF(A27&lt;&gt;"",VLOOKUP(A27,Tasks!B:G,4,FALSE),"")</f>
        <v/>
      </c>
      <c r="D27" s="20" t="str">
        <f>IF(A27&lt;&gt;"",VLOOKUP(A27,Tasks!B:G,5,FALSE),"")</f>
        <v/>
      </c>
      <c r="E27" s="21" t="str">
        <f>IF(A27&lt;&gt;"",VLOOKUP(A27,Tasks!B:G,6,FALSE),"")</f>
        <v/>
      </c>
    </row>
    <row r="28" spans="2:5" x14ac:dyDescent="0.4">
      <c r="B28" s="21" t="str">
        <f>IF(A28&lt;&gt;"",VLOOKUP(A28,Tasks!B:G,2,FALSE),"")</f>
        <v/>
      </c>
      <c r="C28" s="20" t="str">
        <f>IF(A28&lt;&gt;"",VLOOKUP(A28,Tasks!B:G,4,FALSE),"")</f>
        <v/>
      </c>
      <c r="D28" s="20" t="str">
        <f>IF(A28&lt;&gt;"",VLOOKUP(A28,Tasks!B:G,5,FALSE),"")</f>
        <v/>
      </c>
      <c r="E28" s="21" t="str">
        <f>IF(A28&lt;&gt;"",VLOOKUP(A28,Tasks!B:G,6,FALSE),"")</f>
        <v/>
      </c>
    </row>
    <row r="29" spans="2:5" x14ac:dyDescent="0.4">
      <c r="B29" s="21" t="str">
        <f>IF(A29&lt;&gt;"",VLOOKUP(A29,Tasks!B:G,2,FALSE),"")</f>
        <v/>
      </c>
      <c r="C29" s="20" t="str">
        <f>IF(A29&lt;&gt;"",VLOOKUP(A29,Tasks!B:G,4,FALSE),"")</f>
        <v/>
      </c>
      <c r="D29" s="20" t="str">
        <f>IF(A29&lt;&gt;"",VLOOKUP(A29,Tasks!B:G,5,FALSE),"")</f>
        <v/>
      </c>
      <c r="E29" s="21" t="str">
        <f>IF(A29&lt;&gt;"",VLOOKUP(A29,Tasks!B:G,6,FALSE),"")</f>
        <v/>
      </c>
    </row>
    <row r="30" spans="2:5" x14ac:dyDescent="0.4">
      <c r="B30" s="21" t="str">
        <f>IF(A30&lt;&gt;"",VLOOKUP(A30,Tasks!B:G,2,FALSE),"")</f>
        <v/>
      </c>
      <c r="C30" s="20" t="str">
        <f>IF(A30&lt;&gt;"",VLOOKUP(A30,Tasks!B:G,4,FALSE),"")</f>
        <v/>
      </c>
      <c r="D30" s="20" t="str">
        <f>IF(A30&lt;&gt;"",VLOOKUP(A30,Tasks!B:G,5,FALSE),"")</f>
        <v/>
      </c>
      <c r="E30" s="21" t="str">
        <f>IF(A30&lt;&gt;"",VLOOKUP(A30,Tasks!B:G,6,FALSE),"")</f>
        <v/>
      </c>
    </row>
    <row r="31" spans="2:5" x14ac:dyDescent="0.4">
      <c r="B31" s="21" t="str">
        <f>IF(A31&lt;&gt;"",VLOOKUP(A31,Tasks!B:G,2,FALSE),"")</f>
        <v/>
      </c>
      <c r="C31" s="20" t="str">
        <f>IF(A31&lt;&gt;"",VLOOKUP(A31,Tasks!B:G,4,FALSE),"")</f>
        <v/>
      </c>
      <c r="D31" s="20" t="str">
        <f>IF(A31&lt;&gt;"",VLOOKUP(A31,Tasks!B:G,5,FALSE),"")</f>
        <v/>
      </c>
      <c r="E31" s="21" t="str">
        <f>IF(A31&lt;&gt;"",VLOOKUP(A31,Tasks!B:G,6,FALSE),"")</f>
        <v/>
      </c>
    </row>
    <row r="32" spans="2:5" x14ac:dyDescent="0.4">
      <c r="B32" s="21" t="str">
        <f>IF(A32&lt;&gt;"",VLOOKUP(A32,Tasks!B:G,2,FALSE),"")</f>
        <v/>
      </c>
      <c r="C32" s="20" t="str">
        <f>IF(A32&lt;&gt;"",VLOOKUP(A32,Tasks!B:G,4,FALSE),"")</f>
        <v/>
      </c>
      <c r="D32" s="20" t="str">
        <f>IF(A32&lt;&gt;"",VLOOKUP(A32,Tasks!B:G,5,FALSE),"")</f>
        <v/>
      </c>
      <c r="E32" s="21" t="str">
        <f>IF(A32&lt;&gt;"",VLOOKUP(A32,Tasks!B:G,6,FALSE),"")</f>
        <v/>
      </c>
    </row>
    <row r="33" spans="2:5" x14ac:dyDescent="0.4">
      <c r="B33" s="21" t="str">
        <f>IF(A33&lt;&gt;"",VLOOKUP(A33,Tasks!B:G,2,FALSE),"")</f>
        <v/>
      </c>
      <c r="C33" s="20" t="str">
        <f>IF(A33&lt;&gt;"",VLOOKUP(A33,Tasks!B:G,4,FALSE),"")</f>
        <v/>
      </c>
      <c r="D33" s="20" t="str">
        <f>IF(A33&lt;&gt;"",VLOOKUP(A33,Tasks!B:G,5,FALSE),"")</f>
        <v/>
      </c>
      <c r="E33" s="21" t="str">
        <f>IF(A33&lt;&gt;"",VLOOKUP(A33,Tasks!B:G,6,FALSE),"")</f>
        <v/>
      </c>
    </row>
    <row r="34" spans="2:5" x14ac:dyDescent="0.4">
      <c r="B34" s="21" t="str">
        <f>IF(A34&lt;&gt;"",VLOOKUP(A34,Tasks!B:G,2,FALSE),"")</f>
        <v/>
      </c>
      <c r="C34" s="20" t="str">
        <f>IF(A34&lt;&gt;"",VLOOKUP(A34,Tasks!B:G,4,FALSE),"")</f>
        <v/>
      </c>
      <c r="D34" s="20" t="str">
        <f>IF(A34&lt;&gt;"",VLOOKUP(A34,Tasks!B:G,5,FALSE),"")</f>
        <v/>
      </c>
      <c r="E34" s="21" t="str">
        <f>IF(A34&lt;&gt;"",VLOOKUP(A34,Tasks!B:G,6,FALSE),"")</f>
        <v/>
      </c>
    </row>
    <row r="35" spans="2:5" x14ac:dyDescent="0.4">
      <c r="B35" s="21" t="str">
        <f>IF(A35&lt;&gt;"",VLOOKUP(A35,Tasks!B:G,2,FALSE),"")</f>
        <v/>
      </c>
      <c r="C35" s="20" t="str">
        <f>IF(A35&lt;&gt;"",VLOOKUP(A35,Tasks!B:G,4,FALSE),"")</f>
        <v/>
      </c>
      <c r="D35" s="20" t="str">
        <f>IF(A35&lt;&gt;"",VLOOKUP(A35,Tasks!B:G,5,FALSE),"")</f>
        <v/>
      </c>
      <c r="E35" s="21" t="str">
        <f>IF(A35&lt;&gt;"",VLOOKUP(A35,Tasks!B:G,6,FALSE),"")</f>
        <v/>
      </c>
    </row>
    <row r="36" spans="2:5" x14ac:dyDescent="0.4">
      <c r="B36" s="21" t="str">
        <f>IF(A36&lt;&gt;"",VLOOKUP(A36,Tasks!B:G,2,FALSE),"")</f>
        <v/>
      </c>
      <c r="C36" s="20" t="str">
        <f>IF(A36&lt;&gt;"",VLOOKUP(A36,Tasks!B:G,4,FALSE),"")</f>
        <v/>
      </c>
      <c r="D36" s="20" t="str">
        <f>IF(A36&lt;&gt;"",VLOOKUP(A36,Tasks!B:G,5,FALSE),"")</f>
        <v/>
      </c>
      <c r="E36" s="21" t="str">
        <f>IF(A36&lt;&gt;"",VLOOKUP(A36,Tasks!B:G,6,FALSE),"")</f>
        <v/>
      </c>
    </row>
    <row r="37" spans="2:5" x14ac:dyDescent="0.4">
      <c r="B37" s="21" t="str">
        <f>IF(A37&lt;&gt;"",VLOOKUP(A37,Tasks!B:G,2,FALSE),"")</f>
        <v/>
      </c>
      <c r="C37" s="20" t="str">
        <f>IF(A37&lt;&gt;"",VLOOKUP(A37,Tasks!B:G,4,FALSE),"")</f>
        <v/>
      </c>
      <c r="D37" s="20" t="str">
        <f>IF(A37&lt;&gt;"",VLOOKUP(A37,Tasks!B:G,5,FALSE),"")</f>
        <v/>
      </c>
      <c r="E37" s="21" t="str">
        <f>IF(A37&lt;&gt;"",VLOOKUP(A37,Tasks!B:G,6,FALSE),"")</f>
        <v/>
      </c>
    </row>
    <row r="38" spans="2:5" x14ac:dyDescent="0.4">
      <c r="B38" s="21" t="str">
        <f>IF(A38&lt;&gt;"",VLOOKUP(A38,Tasks!B:G,2,FALSE),"")</f>
        <v/>
      </c>
      <c r="C38" s="20" t="str">
        <f>IF(A38&lt;&gt;"",VLOOKUP(A38,Tasks!B:G,4,FALSE),"")</f>
        <v/>
      </c>
      <c r="D38" s="20" t="str">
        <f>IF(A38&lt;&gt;"",VLOOKUP(A38,Tasks!B:G,5,FALSE),"")</f>
        <v/>
      </c>
      <c r="E38" s="21" t="str">
        <f>IF(A38&lt;&gt;"",VLOOKUP(A38,Tasks!B:G,6,FALSE),"")</f>
        <v/>
      </c>
    </row>
    <row r="39" spans="2:5" x14ac:dyDescent="0.4">
      <c r="B39" s="21" t="str">
        <f>IF(A39&lt;&gt;"",VLOOKUP(A39,Tasks!B:G,2,FALSE),"")</f>
        <v/>
      </c>
      <c r="C39" s="20" t="str">
        <f>IF(A39&lt;&gt;"",VLOOKUP(A39,Tasks!B:G,4,FALSE),"")</f>
        <v/>
      </c>
      <c r="D39" s="20" t="str">
        <f>IF(A39&lt;&gt;"",VLOOKUP(A39,Tasks!B:G,5,FALSE),"")</f>
        <v/>
      </c>
      <c r="E39" s="21" t="str">
        <f>IF(A39&lt;&gt;"",VLOOKUP(A39,Tasks!B:G,6,FALSE),"")</f>
        <v/>
      </c>
    </row>
    <row r="40" spans="2:5" x14ac:dyDescent="0.4">
      <c r="B40" s="21" t="str">
        <f>IF(A40&lt;&gt;"",VLOOKUP(A40,Tasks!B:G,2,FALSE),"")</f>
        <v/>
      </c>
      <c r="C40" s="20" t="str">
        <f>IF(A40&lt;&gt;"",VLOOKUP(A40,Tasks!B:G,4,FALSE),"")</f>
        <v/>
      </c>
      <c r="D40" s="20" t="str">
        <f>IF(A40&lt;&gt;"",VLOOKUP(A40,Tasks!B:G,5,FALSE),"")</f>
        <v/>
      </c>
      <c r="E40" s="21" t="str">
        <f>IF(A40&lt;&gt;"",VLOOKUP(A40,Tasks!B:G,6,FALSE),"")</f>
        <v/>
      </c>
    </row>
    <row r="41" spans="2:5" x14ac:dyDescent="0.4">
      <c r="B41" s="21" t="str">
        <f>IF(A41&lt;&gt;"",VLOOKUP(A41,Tasks!B:G,2,FALSE),"")</f>
        <v/>
      </c>
      <c r="C41" s="20" t="str">
        <f>IF(A41&lt;&gt;"",VLOOKUP(A41,Tasks!B:G,4,FALSE),"")</f>
        <v/>
      </c>
      <c r="D41" s="20" t="str">
        <f>IF(A41&lt;&gt;"",VLOOKUP(A41,Tasks!B:G,5,FALSE),"")</f>
        <v/>
      </c>
      <c r="E41" s="21" t="str">
        <f>IF(A41&lt;&gt;"",VLOOKUP(A41,Tasks!B:G,6,FALSE),"")</f>
        <v/>
      </c>
    </row>
    <row r="42" spans="2:5" x14ac:dyDescent="0.4">
      <c r="B42" s="21" t="str">
        <f>IF(A42&lt;&gt;"",VLOOKUP(A42,Tasks!B:G,2,FALSE),"")</f>
        <v/>
      </c>
      <c r="C42" s="20" t="str">
        <f>IF(A42&lt;&gt;"",VLOOKUP(A42,Tasks!B:G,4,FALSE),"")</f>
        <v/>
      </c>
      <c r="D42" s="20" t="str">
        <f>IF(A42&lt;&gt;"",VLOOKUP(A42,Tasks!B:G,5,FALSE),"")</f>
        <v/>
      </c>
      <c r="E42" s="21" t="str">
        <f>IF(A42&lt;&gt;"",VLOOKUP(A42,Tasks!B:G,6,FALSE),"")</f>
        <v/>
      </c>
    </row>
    <row r="43" spans="2:5" x14ac:dyDescent="0.4">
      <c r="B43" s="21" t="str">
        <f>IF(A43&lt;&gt;"",VLOOKUP(A43,Tasks!B:G,2,FALSE),"")</f>
        <v/>
      </c>
      <c r="C43" s="20" t="str">
        <f>IF(A43&lt;&gt;"",VLOOKUP(A43,Tasks!B:G,4,FALSE),"")</f>
        <v/>
      </c>
      <c r="D43" s="20" t="str">
        <f>IF(A43&lt;&gt;"",VLOOKUP(A43,Tasks!B:G,5,FALSE),"")</f>
        <v/>
      </c>
      <c r="E43" s="21" t="str">
        <f>IF(A43&lt;&gt;"",VLOOKUP(A43,Tasks!B:G,6,FALSE),"")</f>
        <v/>
      </c>
    </row>
    <row r="44" spans="2:5" x14ac:dyDescent="0.4">
      <c r="B44" s="21" t="str">
        <f>IF(A44&lt;&gt;"",VLOOKUP(A44,Tasks!B:G,2,FALSE),"")</f>
        <v/>
      </c>
      <c r="C44" s="20" t="str">
        <f>IF(A44&lt;&gt;"",VLOOKUP(A44,Tasks!B:G,4,FALSE),"")</f>
        <v/>
      </c>
      <c r="D44" s="20" t="str">
        <f>IF(A44&lt;&gt;"",VLOOKUP(A44,Tasks!B:G,5,FALSE),"")</f>
        <v/>
      </c>
      <c r="E44" s="21" t="str">
        <f>IF(A44&lt;&gt;"",VLOOKUP(A44,Tasks!B:G,6,FALSE),"")</f>
        <v/>
      </c>
    </row>
    <row r="45" spans="2:5" x14ac:dyDescent="0.4">
      <c r="B45" s="21" t="str">
        <f>IF(A45&lt;&gt;"",VLOOKUP(A45,Tasks!B:G,2,FALSE),"")</f>
        <v/>
      </c>
      <c r="C45" s="20" t="str">
        <f>IF(A45&lt;&gt;"",VLOOKUP(A45,Tasks!B:G,4,FALSE),"")</f>
        <v/>
      </c>
      <c r="D45" s="20" t="str">
        <f>IF(A45&lt;&gt;"",VLOOKUP(A45,Tasks!B:G,5,FALSE),"")</f>
        <v/>
      </c>
      <c r="E45" s="21" t="str">
        <f>IF(A45&lt;&gt;"",VLOOKUP(A45,Tasks!B:G,6,FALSE),"")</f>
        <v/>
      </c>
    </row>
    <row r="46" spans="2:5" x14ac:dyDescent="0.4">
      <c r="B46" s="21" t="str">
        <f>IF(A46&lt;&gt;"",VLOOKUP(A46,Tasks!B:G,2,FALSE),"")</f>
        <v/>
      </c>
      <c r="C46" s="20" t="str">
        <f>IF(A46&lt;&gt;"",VLOOKUP(A46,Tasks!B:G,4,FALSE),"")</f>
        <v/>
      </c>
      <c r="D46" s="20" t="str">
        <f>IF(A46&lt;&gt;"",VLOOKUP(A46,Tasks!B:G,5,FALSE),"")</f>
        <v/>
      </c>
      <c r="E46" s="21" t="str">
        <f>IF(A46&lt;&gt;"",VLOOKUP(A46,Tasks!B:G,6,FALSE),"")</f>
        <v/>
      </c>
    </row>
    <row r="47" spans="2:5" x14ac:dyDescent="0.4">
      <c r="B47" s="21" t="str">
        <f>IF(A47&lt;&gt;"",VLOOKUP(A47,Tasks!B:G,2,FALSE),"")</f>
        <v/>
      </c>
      <c r="C47" s="20" t="str">
        <f>IF(A47&lt;&gt;"",VLOOKUP(A47,Tasks!B:G,4,FALSE),"")</f>
        <v/>
      </c>
      <c r="D47" s="20" t="str">
        <f>IF(A47&lt;&gt;"",VLOOKUP(A47,Tasks!B:G,5,FALSE),"")</f>
        <v/>
      </c>
      <c r="E47" s="21" t="str">
        <f>IF(A47&lt;&gt;"",VLOOKUP(A47,Tasks!B:G,6,FALSE),"")</f>
        <v/>
      </c>
    </row>
    <row r="48" spans="2:5" x14ac:dyDescent="0.4">
      <c r="B48" s="21" t="str">
        <f>IF(A48&lt;&gt;"",VLOOKUP(A48,Tasks!B:G,2,FALSE),"")</f>
        <v/>
      </c>
      <c r="C48" s="20" t="str">
        <f>IF(A48&lt;&gt;"",VLOOKUP(A48,Tasks!B:G,4,FALSE),"")</f>
        <v/>
      </c>
      <c r="D48" s="20" t="str">
        <f>IF(A48&lt;&gt;"",VLOOKUP(A48,Tasks!B:G,5,FALSE),"")</f>
        <v/>
      </c>
      <c r="E48" s="21" t="str">
        <f>IF(A48&lt;&gt;"",VLOOKUP(A48,Tasks!B:G,6,FALSE),"")</f>
        <v/>
      </c>
    </row>
    <row r="49" spans="2:5" x14ac:dyDescent="0.4">
      <c r="B49" s="21" t="str">
        <f>IF(A49&lt;&gt;"",VLOOKUP(A49,Tasks!B:G,2,FALSE),"")</f>
        <v/>
      </c>
      <c r="C49" s="20" t="str">
        <f>IF(A49&lt;&gt;"",VLOOKUP(A49,Tasks!B:G,4,FALSE),"")</f>
        <v/>
      </c>
      <c r="D49" s="20" t="str">
        <f>IF(A49&lt;&gt;"",VLOOKUP(A49,Tasks!B:G,5,FALSE),"")</f>
        <v/>
      </c>
      <c r="E49" s="21" t="str">
        <f>IF(A49&lt;&gt;"",VLOOKUP(A49,Tasks!B:G,6,FALSE),"")</f>
        <v/>
      </c>
    </row>
    <row r="50" spans="2:5" x14ac:dyDescent="0.4">
      <c r="B50" s="21" t="str">
        <f>IF(A50&lt;&gt;"",VLOOKUP(A50,Tasks!B:G,2,FALSE),"")</f>
        <v/>
      </c>
      <c r="C50" s="20" t="str">
        <f>IF(A50&lt;&gt;"",VLOOKUP(A50,Tasks!B:G,4,FALSE),"")</f>
        <v/>
      </c>
      <c r="D50" s="20" t="str">
        <f>IF(A50&lt;&gt;"",VLOOKUP(A50,Tasks!B:G,5,FALSE),"")</f>
        <v/>
      </c>
      <c r="E50" s="21" t="str">
        <f>IF(A50&lt;&gt;"",VLOOKUP(A50,Tasks!B:G,6,FALSE),"")</f>
        <v/>
      </c>
    </row>
    <row r="51" spans="2:5" x14ac:dyDescent="0.4">
      <c r="B51" s="21" t="str">
        <f>IF(A51&lt;&gt;"",VLOOKUP(A51,Tasks!B:G,2,FALSE),"")</f>
        <v/>
      </c>
      <c r="C51" s="20" t="str">
        <f>IF(A51&lt;&gt;"",VLOOKUP(A51,Tasks!B:G,4,FALSE),"")</f>
        <v/>
      </c>
      <c r="D51" s="20" t="str">
        <f>IF(A51&lt;&gt;"",VLOOKUP(A51,Tasks!B:G,5,FALSE),"")</f>
        <v/>
      </c>
      <c r="E51" s="21" t="str">
        <f>IF(A51&lt;&gt;"",VLOOKUP(A51,Tasks!B:G,6,FALSE),"")</f>
        <v/>
      </c>
    </row>
    <row r="52" spans="2:5" x14ac:dyDescent="0.4">
      <c r="B52" s="21" t="str">
        <f>IF(A52&lt;&gt;"",VLOOKUP(A52,Tasks!B:G,2,FALSE),"")</f>
        <v/>
      </c>
      <c r="C52" s="20" t="str">
        <f>IF(A52&lt;&gt;"",VLOOKUP(A52,Tasks!B:G,4,FALSE),"")</f>
        <v/>
      </c>
      <c r="D52" s="20" t="str">
        <f>IF(A52&lt;&gt;"",VLOOKUP(A52,Tasks!B:G,5,FALSE),"")</f>
        <v/>
      </c>
      <c r="E52" s="21" t="str">
        <f>IF(A52&lt;&gt;"",VLOOKUP(A52,Tasks!B:G,6,FALSE),"")</f>
        <v/>
      </c>
    </row>
    <row r="53" spans="2:5" x14ac:dyDescent="0.4">
      <c r="B53" s="21" t="str">
        <f>IF(A53&lt;&gt;"",VLOOKUP(A53,Tasks!B:G,2,FALSE),"")</f>
        <v/>
      </c>
      <c r="C53" s="20" t="str">
        <f>IF(A53&lt;&gt;"",VLOOKUP(A53,Tasks!B:G,4,FALSE),"")</f>
        <v/>
      </c>
      <c r="D53" s="20" t="str">
        <f>IF(A53&lt;&gt;"",VLOOKUP(A53,Tasks!B:G,5,FALSE),"")</f>
        <v/>
      </c>
      <c r="E53" s="21" t="str">
        <f>IF(A53&lt;&gt;"",VLOOKUP(A53,Tasks!B:G,6,FALSE),"")</f>
        <v/>
      </c>
    </row>
    <row r="54" spans="2:5" x14ac:dyDescent="0.4">
      <c r="B54" s="21" t="str">
        <f>IF(A54&lt;&gt;"",VLOOKUP(A54,Tasks!B:G,2,FALSE),"")</f>
        <v/>
      </c>
      <c r="C54" s="20" t="str">
        <f>IF(A54&lt;&gt;"",VLOOKUP(A54,Tasks!B:G,4,FALSE),"")</f>
        <v/>
      </c>
      <c r="D54" s="20" t="str">
        <f>IF(A54&lt;&gt;"",VLOOKUP(A54,Tasks!B:G,5,FALSE),"")</f>
        <v/>
      </c>
      <c r="E54" s="21" t="str">
        <f>IF(A54&lt;&gt;"",VLOOKUP(A54,Tasks!B:G,6,FALSE),"")</f>
        <v/>
      </c>
    </row>
    <row r="55" spans="2:5" x14ac:dyDescent="0.4">
      <c r="B55" s="21" t="str">
        <f>IF(A55&lt;&gt;"",VLOOKUP(A55,Tasks!B:G,2,FALSE),"")</f>
        <v/>
      </c>
      <c r="C55" s="20" t="str">
        <f>IF(A55&lt;&gt;"",VLOOKUP(A55,Tasks!B:G,4,FALSE),"")</f>
        <v/>
      </c>
      <c r="D55" s="20" t="str">
        <f>IF(A55&lt;&gt;"",VLOOKUP(A55,Tasks!B:G,5,FALSE),"")</f>
        <v/>
      </c>
      <c r="E55" s="21" t="str">
        <f>IF(A55&lt;&gt;"",VLOOKUP(A55,Tasks!B:G,6,FALSE),"")</f>
        <v/>
      </c>
    </row>
    <row r="56" spans="2:5" x14ac:dyDescent="0.4">
      <c r="B56" s="21" t="str">
        <f>IF(A56&lt;&gt;"",VLOOKUP(A56,Tasks!B:G,2,FALSE),"")</f>
        <v/>
      </c>
      <c r="C56" s="20" t="str">
        <f>IF(A56&lt;&gt;"",VLOOKUP(A56,Tasks!B:G,4,FALSE),"")</f>
        <v/>
      </c>
      <c r="D56" s="20" t="str">
        <f>IF(A56&lt;&gt;"",VLOOKUP(A56,Tasks!B:G,5,FALSE),"")</f>
        <v/>
      </c>
      <c r="E56" s="21" t="str">
        <f>IF(A56&lt;&gt;"",VLOOKUP(A56,Tasks!B:G,6,FALSE),"")</f>
        <v/>
      </c>
    </row>
    <row r="57" spans="2:5" x14ac:dyDescent="0.4">
      <c r="B57" s="21" t="str">
        <f>IF(A57&lt;&gt;"",VLOOKUP(A57,Tasks!B:G,2,FALSE),"")</f>
        <v/>
      </c>
      <c r="C57" s="20" t="str">
        <f>IF(A57&lt;&gt;"",VLOOKUP(A57,Tasks!B:G,4,FALSE),"")</f>
        <v/>
      </c>
      <c r="D57" s="20" t="str">
        <f>IF(A57&lt;&gt;"",VLOOKUP(A57,Tasks!B:G,5,FALSE),"")</f>
        <v/>
      </c>
      <c r="E57" s="21" t="str">
        <f>IF(A57&lt;&gt;"",VLOOKUP(A57,Tasks!B:G,6,FALSE),"")</f>
        <v/>
      </c>
    </row>
    <row r="58" spans="2:5" x14ac:dyDescent="0.4">
      <c r="B58" s="21" t="str">
        <f>IF(A58&lt;&gt;"",VLOOKUP(A58,Tasks!B:G,2,FALSE),"")</f>
        <v/>
      </c>
      <c r="C58" s="20" t="str">
        <f>IF(A58&lt;&gt;"",VLOOKUP(A58,Tasks!B:G,4,FALSE),"")</f>
        <v/>
      </c>
      <c r="D58" s="20" t="str">
        <f>IF(A58&lt;&gt;"",VLOOKUP(A58,Tasks!B:G,5,FALSE),"")</f>
        <v/>
      </c>
      <c r="E58" s="21" t="str">
        <f>IF(A58&lt;&gt;"",VLOOKUP(A58,Tasks!B:G,6,FALSE),"")</f>
        <v/>
      </c>
    </row>
    <row r="59" spans="2:5" x14ac:dyDescent="0.4">
      <c r="B59" s="21" t="str">
        <f>IF(A59&lt;&gt;"",VLOOKUP(A59,Tasks!B:G,2,FALSE),"")</f>
        <v/>
      </c>
      <c r="C59" s="20" t="str">
        <f>IF(A59&lt;&gt;"",VLOOKUP(A59,Tasks!B:G,4,FALSE),"")</f>
        <v/>
      </c>
      <c r="D59" s="20" t="str">
        <f>IF(A59&lt;&gt;"",VLOOKUP(A59,Tasks!B:G,5,FALSE),"")</f>
        <v/>
      </c>
      <c r="E59" s="21" t="str">
        <f>IF(A59&lt;&gt;"",VLOOKUP(A59,Tasks!B:G,6,FALSE),"")</f>
        <v/>
      </c>
    </row>
    <row r="60" spans="2:5" x14ac:dyDescent="0.4">
      <c r="B60" s="21" t="str">
        <f>IF(A60&lt;&gt;"",VLOOKUP(A60,Tasks!B:G,2,FALSE),"")</f>
        <v/>
      </c>
      <c r="C60" s="20" t="str">
        <f>IF(A60&lt;&gt;"",VLOOKUP(A60,Tasks!B:G,4,FALSE),"")</f>
        <v/>
      </c>
      <c r="D60" s="20" t="str">
        <f>IF(A60&lt;&gt;"",VLOOKUP(A60,Tasks!B:G,5,FALSE),"")</f>
        <v/>
      </c>
      <c r="E60" s="21" t="str">
        <f>IF(A60&lt;&gt;"",VLOOKUP(A60,Tasks!B:G,6,FALSE),"")</f>
        <v/>
      </c>
    </row>
    <row r="61" spans="2:5" x14ac:dyDescent="0.4">
      <c r="B61" s="21" t="str">
        <f>IF(A61&lt;&gt;"",VLOOKUP(A61,Tasks!B:G,2,FALSE),"")</f>
        <v/>
      </c>
      <c r="C61" s="20" t="str">
        <f>IF(A61&lt;&gt;"",VLOOKUP(A61,Tasks!B:G,4,FALSE),"")</f>
        <v/>
      </c>
      <c r="D61" s="20" t="str">
        <f>IF(A61&lt;&gt;"",VLOOKUP(A61,Tasks!B:G,5,FALSE),"")</f>
        <v/>
      </c>
      <c r="E61" s="21" t="str">
        <f>IF(A61&lt;&gt;"",VLOOKUP(A61,Tasks!B:G,6,FALSE),"")</f>
        <v/>
      </c>
    </row>
    <row r="62" spans="2:5" x14ac:dyDescent="0.4">
      <c r="B62" s="21" t="str">
        <f>IF(A62&lt;&gt;"",VLOOKUP(A62,Tasks!B:G,2,FALSE),"")</f>
        <v/>
      </c>
      <c r="C62" s="20" t="str">
        <f>IF(A62&lt;&gt;"",VLOOKUP(A62,Tasks!B:G,4,FALSE),"")</f>
        <v/>
      </c>
      <c r="D62" s="20" t="str">
        <f>IF(A62&lt;&gt;"",VLOOKUP(A62,Tasks!B:G,5,FALSE),"")</f>
        <v/>
      </c>
      <c r="E62" s="21" t="str">
        <f>IF(A62&lt;&gt;"",VLOOKUP(A62,Tasks!B:G,6,FALSE),"")</f>
        <v/>
      </c>
    </row>
    <row r="63" spans="2:5" x14ac:dyDescent="0.4">
      <c r="B63" s="21" t="str">
        <f>IF(A63&lt;&gt;"",VLOOKUP(A63,Tasks!B:G,2,FALSE),"")</f>
        <v/>
      </c>
      <c r="C63" s="20" t="str">
        <f>IF(A63&lt;&gt;"",VLOOKUP(A63,Tasks!B:G,4,FALSE),"")</f>
        <v/>
      </c>
      <c r="D63" s="20" t="str">
        <f>IF(A63&lt;&gt;"",VLOOKUP(A63,Tasks!B:G,5,FALSE),"")</f>
        <v/>
      </c>
      <c r="E63" s="21" t="str">
        <f>IF(A63&lt;&gt;"",VLOOKUP(A63,Tasks!B:G,6,FALSE),"")</f>
        <v/>
      </c>
    </row>
    <row r="64" spans="2:5" x14ac:dyDescent="0.4">
      <c r="B64" s="21" t="str">
        <f>IF(A64&lt;&gt;"",VLOOKUP(A64,Tasks!B:G,2,FALSE),"")</f>
        <v/>
      </c>
      <c r="C64" s="20" t="str">
        <f>IF(A64&lt;&gt;"",VLOOKUP(A64,Tasks!B:G,4,FALSE),"")</f>
        <v/>
      </c>
      <c r="D64" s="20" t="str">
        <f>IF(A64&lt;&gt;"",VLOOKUP(A64,Tasks!B:G,5,FALSE),"")</f>
        <v/>
      </c>
      <c r="E64" s="21" t="str">
        <f>IF(A64&lt;&gt;"",VLOOKUP(A64,Tasks!B:G,6,FALSE),"")</f>
        <v/>
      </c>
    </row>
    <row r="65" spans="2:5" x14ac:dyDescent="0.4">
      <c r="B65" s="21" t="str">
        <f>IF(A65&lt;&gt;"",VLOOKUP(A65,Tasks!B:G,2,FALSE),"")</f>
        <v/>
      </c>
      <c r="C65" s="20" t="str">
        <f>IF(A65&lt;&gt;"",VLOOKUP(A65,Tasks!B:G,4,FALSE),"")</f>
        <v/>
      </c>
      <c r="D65" s="20" t="str">
        <f>IF(A65&lt;&gt;"",VLOOKUP(A65,Tasks!B:G,5,FALSE),"")</f>
        <v/>
      </c>
      <c r="E65" s="21" t="str">
        <f>IF(A65&lt;&gt;"",VLOOKUP(A65,Tasks!B:G,6,FALSE),"")</f>
        <v/>
      </c>
    </row>
    <row r="66" spans="2:5" x14ac:dyDescent="0.4">
      <c r="B66" s="21" t="str">
        <f>IF(A66&lt;&gt;"",VLOOKUP(A66,Tasks!B:G,2,FALSE),"")</f>
        <v/>
      </c>
      <c r="C66" s="20" t="str">
        <f>IF(A66&lt;&gt;"",VLOOKUP(A66,Tasks!B:G,4,FALSE),"")</f>
        <v/>
      </c>
      <c r="D66" s="20" t="str">
        <f>IF(A66&lt;&gt;"",VLOOKUP(A66,Tasks!B:G,5,FALSE),"")</f>
        <v/>
      </c>
      <c r="E66" s="21" t="str">
        <f>IF(A66&lt;&gt;"",VLOOKUP(A66,Tasks!B:G,6,FALSE),"")</f>
        <v/>
      </c>
    </row>
    <row r="67" spans="2:5" x14ac:dyDescent="0.4">
      <c r="B67" s="21" t="str">
        <f>IF(A67&lt;&gt;"",VLOOKUP(A67,Tasks!B:G,2,FALSE),"")</f>
        <v/>
      </c>
      <c r="C67" s="20" t="str">
        <f>IF(A67&lt;&gt;"",VLOOKUP(A67,Tasks!B:G,4,FALSE),"")</f>
        <v/>
      </c>
      <c r="D67" s="20" t="str">
        <f>IF(A67&lt;&gt;"",VLOOKUP(A67,Tasks!B:G,5,FALSE),"")</f>
        <v/>
      </c>
      <c r="E67" s="21" t="str">
        <f>IF(A67&lt;&gt;"",VLOOKUP(A67,Tasks!B:G,6,FALSE),"")</f>
        <v/>
      </c>
    </row>
    <row r="68" spans="2:5" x14ac:dyDescent="0.4">
      <c r="B68" s="21" t="str">
        <f>IF(A68&lt;&gt;"",VLOOKUP(A68,Tasks!B:G,2,FALSE),"")</f>
        <v/>
      </c>
      <c r="C68" s="20" t="str">
        <f>IF(A68&lt;&gt;"",VLOOKUP(A68,Tasks!B:G,4,FALSE),"")</f>
        <v/>
      </c>
      <c r="D68" s="20" t="str">
        <f>IF(A68&lt;&gt;"",VLOOKUP(A68,Tasks!B:G,5,FALSE),"")</f>
        <v/>
      </c>
      <c r="E68" s="21" t="str">
        <f>IF(A68&lt;&gt;"",VLOOKUP(A68,Tasks!B:G,6,FALSE),"")</f>
        <v/>
      </c>
    </row>
    <row r="69" spans="2:5" x14ac:dyDescent="0.4">
      <c r="B69" s="21" t="str">
        <f>IF(A69&lt;&gt;"",VLOOKUP(A69,Tasks!B:G,2,FALSE),"")</f>
        <v/>
      </c>
      <c r="C69" s="20" t="str">
        <f>IF(A69&lt;&gt;"",VLOOKUP(A69,Tasks!B:G,4,FALSE),"")</f>
        <v/>
      </c>
      <c r="D69" s="20" t="str">
        <f>IF(A69&lt;&gt;"",VLOOKUP(A69,Tasks!B:G,5,FALSE),"")</f>
        <v/>
      </c>
      <c r="E69" s="21" t="str">
        <f>IF(A69&lt;&gt;"",VLOOKUP(A69,Tasks!B:G,6,FALSE),"")</f>
        <v/>
      </c>
    </row>
    <row r="70" spans="2:5" x14ac:dyDescent="0.4">
      <c r="B70" s="21" t="str">
        <f>IF(A70&lt;&gt;"",VLOOKUP(A70,Tasks!B:G,2,FALSE),"")</f>
        <v/>
      </c>
      <c r="C70" s="20" t="str">
        <f>IF(A70&lt;&gt;"",VLOOKUP(A70,Tasks!B:G,4,FALSE),"")</f>
        <v/>
      </c>
      <c r="D70" s="20" t="str">
        <f>IF(A70&lt;&gt;"",VLOOKUP(A70,Tasks!B:G,5,FALSE),"")</f>
        <v/>
      </c>
      <c r="E70" s="21" t="str">
        <f>IF(A70&lt;&gt;"",VLOOKUP(A70,Tasks!B:G,6,FALSE),"")</f>
        <v/>
      </c>
    </row>
    <row r="71" spans="2:5" x14ac:dyDescent="0.4">
      <c r="B71" s="21" t="str">
        <f>IF(A71&lt;&gt;"",VLOOKUP(A71,Tasks!B:G,2,FALSE),"")</f>
        <v/>
      </c>
      <c r="C71" s="20" t="str">
        <f>IF(A71&lt;&gt;"",VLOOKUP(A71,Tasks!B:G,4,FALSE),"")</f>
        <v/>
      </c>
      <c r="D71" s="20" t="str">
        <f>IF(A71&lt;&gt;"",VLOOKUP(A71,Tasks!B:G,5,FALSE),"")</f>
        <v/>
      </c>
      <c r="E71" s="21" t="str">
        <f>IF(A71&lt;&gt;"",VLOOKUP(A71,Tasks!B:G,6,FALSE),"")</f>
        <v/>
      </c>
    </row>
    <row r="72" spans="2:5" x14ac:dyDescent="0.4">
      <c r="B72" s="21" t="str">
        <f>IF(A72&lt;&gt;"",VLOOKUP(A72,Tasks!B:G,2,FALSE),"")</f>
        <v/>
      </c>
      <c r="C72" s="20" t="str">
        <f>IF(A72&lt;&gt;"",VLOOKUP(A72,Tasks!B:G,4,FALSE),"")</f>
        <v/>
      </c>
      <c r="D72" s="20" t="str">
        <f>IF(A72&lt;&gt;"",VLOOKUP(A72,Tasks!B:G,5,FALSE),"")</f>
        <v/>
      </c>
      <c r="E72" s="21" t="str">
        <f>IF(A72&lt;&gt;"",VLOOKUP(A72,Tasks!B:G,6,FALSE),"")</f>
        <v/>
      </c>
    </row>
    <row r="73" spans="2:5" x14ac:dyDescent="0.4">
      <c r="B73" s="21" t="str">
        <f>IF(A73&lt;&gt;"",VLOOKUP(A73,Tasks!B:G,2,FALSE),"")</f>
        <v/>
      </c>
      <c r="C73" s="20" t="str">
        <f>IF(A73&lt;&gt;"",VLOOKUP(A73,Tasks!B:G,4,FALSE),"")</f>
        <v/>
      </c>
      <c r="D73" s="20" t="str">
        <f>IF(A73&lt;&gt;"",VLOOKUP(A73,Tasks!B:G,5,FALSE),"")</f>
        <v/>
      </c>
      <c r="E73" s="21" t="str">
        <f>IF(A73&lt;&gt;"",VLOOKUP(A73,Tasks!B:G,6,FALSE),"")</f>
        <v/>
      </c>
    </row>
    <row r="74" spans="2:5" x14ac:dyDescent="0.4">
      <c r="B74" s="21" t="str">
        <f>IF(A74&lt;&gt;"",VLOOKUP(A74,Tasks!B:G,2,FALSE),"")</f>
        <v/>
      </c>
      <c r="C74" s="20" t="str">
        <f>IF(A74&lt;&gt;"",VLOOKUP(A74,Tasks!B:G,4,FALSE),"")</f>
        <v/>
      </c>
      <c r="D74" s="20" t="str">
        <f>IF(A74&lt;&gt;"",VLOOKUP(A74,Tasks!B:G,5,FALSE),"")</f>
        <v/>
      </c>
      <c r="E74" s="21" t="str">
        <f>IF(A74&lt;&gt;"",VLOOKUP(A74,Tasks!B:G,6,FALSE),"")</f>
        <v/>
      </c>
    </row>
    <row r="75" spans="2:5" x14ac:dyDescent="0.4">
      <c r="B75" s="21" t="str">
        <f>IF(A75&lt;&gt;"",VLOOKUP(A75,Tasks!B:G,2,FALSE),"")</f>
        <v/>
      </c>
      <c r="C75" s="20" t="str">
        <f>IF(A75&lt;&gt;"",VLOOKUP(A75,Tasks!B:G,4,FALSE),"")</f>
        <v/>
      </c>
      <c r="D75" s="20" t="str">
        <f>IF(A75&lt;&gt;"",VLOOKUP(A75,Tasks!B:G,5,FALSE),"")</f>
        <v/>
      </c>
      <c r="E75" s="21" t="str">
        <f>IF(A75&lt;&gt;"",VLOOKUP(A75,Tasks!B:G,6,FALSE),"")</f>
        <v/>
      </c>
    </row>
    <row r="76" spans="2:5" x14ac:dyDescent="0.4">
      <c r="B76" s="21" t="str">
        <f>IF(A76&lt;&gt;"",VLOOKUP(A76,Tasks!B:G,2,FALSE),"")</f>
        <v/>
      </c>
      <c r="C76" s="20" t="str">
        <f>IF(A76&lt;&gt;"",VLOOKUP(A76,Tasks!B:G,4,FALSE),"")</f>
        <v/>
      </c>
      <c r="D76" s="20" t="str">
        <f>IF(A76&lt;&gt;"",VLOOKUP(A76,Tasks!B:G,5,FALSE),"")</f>
        <v/>
      </c>
      <c r="E76" s="21" t="str">
        <f>IF(A76&lt;&gt;"",VLOOKUP(A76,Tasks!B:G,6,FALSE),"")</f>
        <v/>
      </c>
    </row>
    <row r="77" spans="2:5" x14ac:dyDescent="0.4">
      <c r="B77" s="21" t="str">
        <f>IF(A77&lt;&gt;"",VLOOKUP(A77,Tasks!B:G,2,FALSE),"")</f>
        <v/>
      </c>
      <c r="C77" s="20" t="str">
        <f>IF(A77&lt;&gt;"",VLOOKUP(A77,Tasks!B:G,4,FALSE),"")</f>
        <v/>
      </c>
      <c r="D77" s="20" t="str">
        <f>IF(A77&lt;&gt;"",VLOOKUP(A77,Tasks!B:G,5,FALSE),"")</f>
        <v/>
      </c>
      <c r="E77" s="21" t="str">
        <f>IF(A77&lt;&gt;"",VLOOKUP(A77,Tasks!B:G,6,FALSE),"")</f>
        <v/>
      </c>
    </row>
    <row r="78" spans="2:5" x14ac:dyDescent="0.4">
      <c r="B78" s="21" t="str">
        <f>IF(A78&lt;&gt;"",VLOOKUP(A78,Tasks!B:G,2,FALSE),"")</f>
        <v/>
      </c>
      <c r="C78" s="20" t="str">
        <f>IF(A78&lt;&gt;"",VLOOKUP(A78,Tasks!B:G,4,FALSE),"")</f>
        <v/>
      </c>
      <c r="D78" s="20" t="str">
        <f>IF(A78&lt;&gt;"",VLOOKUP(A78,Tasks!B:G,5,FALSE),"")</f>
        <v/>
      </c>
      <c r="E78" s="21" t="str">
        <f>IF(A78&lt;&gt;"",VLOOKUP(A78,Tasks!B:G,6,FALSE),"")</f>
        <v/>
      </c>
    </row>
    <row r="79" spans="2:5" x14ac:dyDescent="0.4">
      <c r="B79" s="21" t="str">
        <f>IF(A79&lt;&gt;"",VLOOKUP(A79,Tasks!B:G,2,FALSE),"")</f>
        <v/>
      </c>
      <c r="C79" s="20" t="str">
        <f>IF(A79&lt;&gt;"",VLOOKUP(A79,Tasks!B:G,4,FALSE),"")</f>
        <v/>
      </c>
      <c r="D79" s="20" t="str">
        <f>IF(A79&lt;&gt;"",VLOOKUP(A79,Tasks!B:G,5,FALSE),"")</f>
        <v/>
      </c>
      <c r="E79" s="21" t="str">
        <f>IF(A79&lt;&gt;"",VLOOKUP(A79,Tasks!B:G,6,FALSE),"")</f>
        <v/>
      </c>
    </row>
    <row r="80" spans="2:5" x14ac:dyDescent="0.4">
      <c r="B80" s="21" t="str">
        <f>IF(A80&lt;&gt;"",VLOOKUP(A80,Tasks!B:G,2,FALSE),"")</f>
        <v/>
      </c>
      <c r="C80" s="20" t="str">
        <f>IF(A80&lt;&gt;"",VLOOKUP(A80,Tasks!B:G,4,FALSE),"")</f>
        <v/>
      </c>
      <c r="D80" s="20" t="str">
        <f>IF(A80&lt;&gt;"",VLOOKUP(A80,Tasks!B:G,5,FALSE),"")</f>
        <v/>
      </c>
      <c r="E80" s="21" t="str">
        <f>IF(A80&lt;&gt;"",VLOOKUP(A80,Tasks!B:G,6,FALSE),"")</f>
        <v/>
      </c>
    </row>
    <row r="81" spans="2:5" x14ac:dyDescent="0.4">
      <c r="B81" s="21" t="str">
        <f>IF(A81&lt;&gt;"",VLOOKUP(A81,Tasks!B:G,2,FALSE),"")</f>
        <v/>
      </c>
      <c r="C81" s="20" t="str">
        <f>IF(A81&lt;&gt;"",VLOOKUP(A81,Tasks!B:G,4,FALSE),"")</f>
        <v/>
      </c>
      <c r="D81" s="20" t="str">
        <f>IF(A81&lt;&gt;"",VLOOKUP(A81,Tasks!B:G,5,FALSE),"")</f>
        <v/>
      </c>
      <c r="E81" s="21" t="str">
        <f>IF(A81&lt;&gt;"",VLOOKUP(A81,Tasks!B:G,6,FALSE),"")</f>
        <v/>
      </c>
    </row>
    <row r="82" spans="2:5" x14ac:dyDescent="0.4">
      <c r="B82" s="21" t="str">
        <f>IF(A82&lt;&gt;"",VLOOKUP(A82,Tasks!B:G,2,FALSE),"")</f>
        <v/>
      </c>
      <c r="C82" s="20" t="str">
        <f>IF(A82&lt;&gt;"",VLOOKUP(A82,Tasks!B:G,4,FALSE),"")</f>
        <v/>
      </c>
      <c r="D82" s="20" t="str">
        <f>IF(A82&lt;&gt;"",VLOOKUP(A82,Tasks!B:G,5,FALSE),"")</f>
        <v/>
      </c>
      <c r="E82" s="21" t="str">
        <f>IF(A82&lt;&gt;"",VLOOKUP(A82,Tasks!B:G,6,FALSE),"")</f>
        <v/>
      </c>
    </row>
    <row r="83" spans="2:5" x14ac:dyDescent="0.4">
      <c r="B83" s="21" t="str">
        <f>IF(A83&lt;&gt;"",VLOOKUP(A83,Tasks!B:G,2,FALSE),"")</f>
        <v/>
      </c>
      <c r="C83" s="20" t="str">
        <f>IF(A83&lt;&gt;"",VLOOKUP(A83,Tasks!B:G,4,FALSE),"")</f>
        <v/>
      </c>
      <c r="D83" s="20" t="str">
        <f>IF(A83&lt;&gt;"",VLOOKUP(A83,Tasks!B:G,5,FALSE),"")</f>
        <v/>
      </c>
      <c r="E83" s="21" t="str">
        <f>IF(A83&lt;&gt;"",VLOOKUP(A83,Tasks!B:G,6,FALSE),"")</f>
        <v/>
      </c>
    </row>
    <row r="84" spans="2:5" x14ac:dyDescent="0.4">
      <c r="B84" s="21" t="str">
        <f>IF(A84&lt;&gt;"",VLOOKUP(A84,Tasks!B:G,2,FALSE),"")</f>
        <v/>
      </c>
      <c r="C84" s="20" t="str">
        <f>IF(A84&lt;&gt;"",VLOOKUP(A84,Tasks!B:G,4,FALSE),"")</f>
        <v/>
      </c>
      <c r="D84" s="20" t="str">
        <f>IF(A84&lt;&gt;"",VLOOKUP(A84,Tasks!B:G,5,FALSE),"")</f>
        <v/>
      </c>
      <c r="E84" s="21" t="str">
        <f>IF(A84&lt;&gt;"",VLOOKUP(A84,Tasks!B:G,6,FALSE),"")</f>
        <v/>
      </c>
    </row>
    <row r="85" spans="2:5" x14ac:dyDescent="0.4">
      <c r="B85" s="21" t="str">
        <f>IF(A85&lt;&gt;"",VLOOKUP(A85,Tasks!B:G,2,FALSE),"")</f>
        <v/>
      </c>
      <c r="C85" s="20" t="str">
        <f>IF(A85&lt;&gt;"",VLOOKUP(A85,Tasks!B:G,4,FALSE),"")</f>
        <v/>
      </c>
      <c r="D85" s="20" t="str">
        <f>IF(A85&lt;&gt;"",VLOOKUP(A85,Tasks!B:G,5,FALSE),"")</f>
        <v/>
      </c>
      <c r="E85" s="21" t="str">
        <f>IF(A85&lt;&gt;"",VLOOKUP(A85,Tasks!B:G,6,FALSE),"")</f>
        <v/>
      </c>
    </row>
    <row r="86" spans="2:5" x14ac:dyDescent="0.4">
      <c r="B86" s="21" t="str">
        <f>IF(A86&lt;&gt;"",VLOOKUP(A86,Tasks!B:G,2,FALSE),"")</f>
        <v/>
      </c>
      <c r="C86" s="20" t="str">
        <f>IF(A86&lt;&gt;"",VLOOKUP(A86,Tasks!B:G,4,FALSE),"")</f>
        <v/>
      </c>
      <c r="D86" s="20" t="str">
        <f>IF(A86&lt;&gt;"",VLOOKUP(A86,Tasks!B:G,5,FALSE),"")</f>
        <v/>
      </c>
      <c r="E86" s="21" t="str">
        <f>IF(A86&lt;&gt;"",VLOOKUP(A86,Tasks!B:G,6,FALSE),"")</f>
        <v/>
      </c>
    </row>
    <row r="87" spans="2:5" x14ac:dyDescent="0.4">
      <c r="B87" s="21" t="str">
        <f>IF(A87&lt;&gt;"",VLOOKUP(A87,Tasks!B:G,2,FALSE),"")</f>
        <v/>
      </c>
      <c r="C87" s="20" t="str">
        <f>IF(A87&lt;&gt;"",VLOOKUP(A87,Tasks!B:G,4,FALSE),"")</f>
        <v/>
      </c>
      <c r="D87" s="20" t="str">
        <f>IF(A87&lt;&gt;"",VLOOKUP(A87,Tasks!B:G,5,FALSE),"")</f>
        <v/>
      </c>
      <c r="E87" s="21" t="str">
        <f>IF(A87&lt;&gt;"",VLOOKUP(A87,Tasks!B:G,6,FALSE),"")</f>
        <v/>
      </c>
    </row>
    <row r="88" spans="2:5" x14ac:dyDescent="0.4">
      <c r="B88" s="21" t="str">
        <f>IF(A88&lt;&gt;"",VLOOKUP(A88,Tasks!B:G,2,FALSE),"")</f>
        <v/>
      </c>
      <c r="C88" s="20" t="str">
        <f>IF(A88&lt;&gt;"",VLOOKUP(A88,Tasks!B:G,4,FALSE),"")</f>
        <v/>
      </c>
      <c r="D88" s="20" t="str">
        <f>IF(A88&lt;&gt;"",VLOOKUP(A88,Tasks!B:G,5,FALSE),"")</f>
        <v/>
      </c>
      <c r="E88" s="21" t="str">
        <f>IF(A88&lt;&gt;"",VLOOKUP(A88,Tasks!B:G,6,FALSE),"")</f>
        <v/>
      </c>
    </row>
    <row r="89" spans="2:5" x14ac:dyDescent="0.4">
      <c r="B89" s="21" t="str">
        <f>IF(A89&lt;&gt;"",VLOOKUP(A89,Tasks!B:G,2,FALSE),"")</f>
        <v/>
      </c>
      <c r="C89" s="20" t="str">
        <f>IF(A89&lt;&gt;"",VLOOKUP(A89,Tasks!B:G,4,FALSE),"")</f>
        <v/>
      </c>
      <c r="D89" s="20" t="str">
        <f>IF(A89&lt;&gt;"",VLOOKUP(A89,Tasks!B:G,5,FALSE),"")</f>
        <v/>
      </c>
      <c r="E89" s="21" t="str">
        <f>IF(A89&lt;&gt;"",VLOOKUP(A89,Tasks!B:G,6,FALSE),"")</f>
        <v/>
      </c>
    </row>
    <row r="90" spans="2:5" x14ac:dyDescent="0.4">
      <c r="B90" s="21" t="str">
        <f>IF(A90&lt;&gt;"",VLOOKUP(A90,Tasks!B:G,2,FALSE),"")</f>
        <v/>
      </c>
      <c r="C90" s="20" t="str">
        <f>IF(A90&lt;&gt;"",VLOOKUP(A90,Tasks!B:G,4,FALSE),"")</f>
        <v/>
      </c>
      <c r="D90" s="20" t="str">
        <f>IF(A90&lt;&gt;"",VLOOKUP(A90,Tasks!B:G,5,FALSE),"")</f>
        <v/>
      </c>
      <c r="E90" s="21" t="str">
        <f>IF(A90&lt;&gt;"",VLOOKUP(A90,Tasks!B:G,6,FALSE),"")</f>
        <v/>
      </c>
    </row>
    <row r="91" spans="2:5" x14ac:dyDescent="0.4">
      <c r="B91" s="21" t="str">
        <f>IF(A91&lt;&gt;"",VLOOKUP(A91,Tasks!B:G,2,FALSE),"")</f>
        <v/>
      </c>
      <c r="C91" s="20" t="str">
        <f>IF(A91&lt;&gt;"",VLOOKUP(A91,Tasks!B:G,4,FALSE),"")</f>
        <v/>
      </c>
      <c r="D91" s="20" t="str">
        <f>IF(A91&lt;&gt;"",VLOOKUP(A91,Tasks!B:G,5,FALSE),"")</f>
        <v/>
      </c>
      <c r="E91" s="21" t="str">
        <f>IF(A91&lt;&gt;"",VLOOKUP(A91,Tasks!B:G,6,FALSE),"")</f>
        <v/>
      </c>
    </row>
    <row r="92" spans="2:5" x14ac:dyDescent="0.4">
      <c r="B92" s="21" t="str">
        <f>IF(A92&lt;&gt;"",VLOOKUP(A92,Tasks!B:G,2,FALSE),"")</f>
        <v/>
      </c>
      <c r="C92" s="20" t="str">
        <f>IF(A92&lt;&gt;"",VLOOKUP(A92,Tasks!B:G,4,FALSE),"")</f>
        <v/>
      </c>
      <c r="D92" s="20" t="str">
        <f>IF(A92&lt;&gt;"",VLOOKUP(A92,Tasks!B:G,5,FALSE),"")</f>
        <v/>
      </c>
      <c r="E92" s="21" t="str">
        <f>IF(A92&lt;&gt;"",VLOOKUP(A92,Tasks!B:G,6,FALSE),"")</f>
        <v/>
      </c>
    </row>
    <row r="93" spans="2:5" x14ac:dyDescent="0.4">
      <c r="B93" s="21" t="str">
        <f>IF(A93&lt;&gt;"",VLOOKUP(A93,Tasks!B:G,2,FALSE),"")</f>
        <v/>
      </c>
      <c r="C93" s="20" t="str">
        <f>IF(A93&lt;&gt;"",VLOOKUP(A93,Tasks!B:G,4,FALSE),"")</f>
        <v/>
      </c>
      <c r="D93" s="20" t="str">
        <f>IF(A93&lt;&gt;"",VLOOKUP(A93,Tasks!B:G,5,FALSE),"")</f>
        <v/>
      </c>
      <c r="E93" s="21" t="str">
        <f>IF(A93&lt;&gt;"",VLOOKUP(A93,Tasks!B:G,6,FALSE),"")</f>
        <v/>
      </c>
    </row>
    <row r="94" spans="2:5" x14ac:dyDescent="0.4">
      <c r="B94" s="21" t="str">
        <f>IF(A94&lt;&gt;"",VLOOKUP(A94,Tasks!B:G,2,FALSE),"")</f>
        <v/>
      </c>
      <c r="C94" s="20" t="str">
        <f>IF(A94&lt;&gt;"",VLOOKUP(A94,Tasks!B:G,4,FALSE),"")</f>
        <v/>
      </c>
      <c r="D94" s="20" t="str">
        <f>IF(A94&lt;&gt;"",VLOOKUP(A94,Tasks!B:G,5,FALSE),"")</f>
        <v/>
      </c>
      <c r="E94" s="21" t="str">
        <f>IF(A94&lt;&gt;"",VLOOKUP(A94,Tasks!B:G,6,FALSE),"")</f>
        <v/>
      </c>
    </row>
    <row r="95" spans="2:5" x14ac:dyDescent="0.4">
      <c r="B95" s="21" t="str">
        <f>IF(A95&lt;&gt;"",VLOOKUP(A95,Tasks!B:G,2,FALSE),"")</f>
        <v/>
      </c>
      <c r="C95" s="20" t="str">
        <f>IF(A95&lt;&gt;"",VLOOKUP(A95,Tasks!B:G,4,FALSE),"")</f>
        <v/>
      </c>
      <c r="D95" s="20" t="str">
        <f>IF(A95&lt;&gt;"",VLOOKUP(A95,Tasks!B:G,5,FALSE),"")</f>
        <v/>
      </c>
      <c r="E95" s="21" t="str">
        <f>IF(A95&lt;&gt;"",VLOOKUP(A95,Tasks!B:G,6,FALSE),"")</f>
        <v/>
      </c>
    </row>
    <row r="96" spans="2:5" x14ac:dyDescent="0.4">
      <c r="B96" s="21" t="str">
        <f>IF(A96&lt;&gt;"",VLOOKUP(A96,Tasks!B:G,2,FALSE),"")</f>
        <v/>
      </c>
      <c r="C96" s="20" t="str">
        <f>IF(A96&lt;&gt;"",VLOOKUP(A96,Tasks!B:G,4,FALSE),"")</f>
        <v/>
      </c>
      <c r="D96" s="20" t="str">
        <f>IF(A96&lt;&gt;"",VLOOKUP(A96,Tasks!B:G,5,FALSE),"")</f>
        <v/>
      </c>
      <c r="E96" s="21" t="str">
        <f>IF(A96&lt;&gt;"",VLOOKUP(A96,Tasks!B:G,6,FALSE),"")</f>
        <v/>
      </c>
    </row>
    <row r="97" spans="2:5" x14ac:dyDescent="0.4">
      <c r="B97" s="21" t="str">
        <f>IF(A97&lt;&gt;"",VLOOKUP(A97,Tasks!B:G,2,FALSE),"")</f>
        <v/>
      </c>
      <c r="C97" s="20" t="str">
        <f>IF(A97&lt;&gt;"",VLOOKUP(A97,Tasks!B:G,4,FALSE),"")</f>
        <v/>
      </c>
      <c r="D97" s="20" t="str">
        <f>IF(A97&lt;&gt;"",VLOOKUP(A97,Tasks!B:G,5,FALSE),"")</f>
        <v/>
      </c>
      <c r="E97" s="21" t="str">
        <f>IF(A97&lt;&gt;"",VLOOKUP(A97,Tasks!B:G,6,FALSE),"")</f>
        <v/>
      </c>
    </row>
    <row r="98" spans="2:5" x14ac:dyDescent="0.4">
      <c r="B98" s="21" t="str">
        <f>IF(A98&lt;&gt;"",VLOOKUP(A98,Tasks!B:G,2,FALSE),"")</f>
        <v/>
      </c>
      <c r="C98" s="20" t="str">
        <f>IF(A98&lt;&gt;"",VLOOKUP(A98,Tasks!B:G,4,FALSE),"")</f>
        <v/>
      </c>
      <c r="D98" s="20" t="str">
        <f>IF(A98&lt;&gt;"",VLOOKUP(A98,Tasks!B:G,5,FALSE),"")</f>
        <v/>
      </c>
      <c r="E98" s="21" t="str">
        <f>IF(A98&lt;&gt;"",VLOOKUP(A98,Tasks!B:G,6,FALSE),"")</f>
        <v/>
      </c>
    </row>
    <row r="99" spans="2:5" x14ac:dyDescent="0.4">
      <c r="B99" s="21" t="str">
        <f>IF(A99&lt;&gt;"",VLOOKUP(A99,Tasks!B:G,2,FALSE),"")</f>
        <v/>
      </c>
      <c r="C99" s="20" t="str">
        <f>IF(A99&lt;&gt;"",VLOOKUP(A99,Tasks!B:G,4,FALSE),"")</f>
        <v/>
      </c>
      <c r="D99" s="20" t="str">
        <f>IF(A99&lt;&gt;"",VLOOKUP(A99,Tasks!B:G,5,FALSE),"")</f>
        <v/>
      </c>
      <c r="E99" s="21" t="str">
        <f>IF(A99&lt;&gt;"",VLOOKUP(A99,Tasks!B:G,6,FALSE),"")</f>
        <v/>
      </c>
    </row>
    <row r="100" spans="2:5" x14ac:dyDescent="0.4">
      <c r="B100" s="21" t="str">
        <f>IF(A100&lt;&gt;"",VLOOKUP(A100,Tasks!B:G,2,FALSE),"")</f>
        <v/>
      </c>
      <c r="C100" s="20" t="str">
        <f>IF(A100&lt;&gt;"",VLOOKUP(A100,Tasks!B:G,4,FALSE),"")</f>
        <v/>
      </c>
      <c r="D100" s="20" t="str">
        <f>IF(A100&lt;&gt;"",VLOOKUP(A100,Tasks!B:G,5,FALSE),"")</f>
        <v/>
      </c>
      <c r="E100" s="21" t="str">
        <f>IF(A100&lt;&gt;"",VLOOKUP(A100,Tasks!B:G,6,FALSE),"")</f>
        <v/>
      </c>
    </row>
    <row r="101" spans="2:5" x14ac:dyDescent="0.4">
      <c r="B101" s="21" t="str">
        <f>IF(A101&lt;&gt;"",VLOOKUP(A101,Tasks!B:G,2,FALSE),"")</f>
        <v/>
      </c>
      <c r="C101" s="20" t="str">
        <f>IF(A101&lt;&gt;"",VLOOKUP(A101,Tasks!B:G,4,FALSE),"")</f>
        <v/>
      </c>
      <c r="D101" s="20" t="str">
        <f>IF(A101&lt;&gt;"",VLOOKUP(A101,Tasks!B:G,5,FALSE),"")</f>
        <v/>
      </c>
      <c r="E101" s="21" t="str">
        <f>IF(A101&lt;&gt;"",VLOOKUP(A101,Tasks!B:G,6,FALSE),"")</f>
        <v/>
      </c>
    </row>
    <row r="102" spans="2:5" x14ac:dyDescent="0.4">
      <c r="B102" s="21" t="str">
        <f>IF(A102&lt;&gt;"",VLOOKUP(A102,Tasks!B:G,2,FALSE),"")</f>
        <v/>
      </c>
      <c r="C102" s="20" t="str">
        <f>IF(A102&lt;&gt;"",VLOOKUP(A102,Tasks!B:G,4,FALSE),"")</f>
        <v/>
      </c>
      <c r="D102" s="20" t="str">
        <f>IF(A102&lt;&gt;"",VLOOKUP(A102,Tasks!B:G,5,FALSE),"")</f>
        <v/>
      </c>
      <c r="E102" s="21" t="str">
        <f>IF(A102&lt;&gt;"",VLOOKUP(A102,Tasks!B:G,6,FALSE),"")</f>
        <v/>
      </c>
    </row>
    <row r="103" spans="2:5" x14ac:dyDescent="0.4">
      <c r="B103" s="21" t="str">
        <f>IF(A103&lt;&gt;"",VLOOKUP(A103,Tasks!B:G,2,FALSE),"")</f>
        <v/>
      </c>
      <c r="C103" s="20" t="str">
        <f>IF(A103&lt;&gt;"",VLOOKUP(A103,Tasks!B:G,4,FALSE),"")</f>
        <v/>
      </c>
      <c r="D103" s="20" t="str">
        <f>IF(A103&lt;&gt;"",VLOOKUP(A103,Tasks!B:G,5,FALSE),"")</f>
        <v/>
      </c>
      <c r="E103" s="21" t="str">
        <f>IF(A103&lt;&gt;"",VLOOKUP(A103,Tasks!B:G,6,FALSE),"")</f>
        <v/>
      </c>
    </row>
    <row r="104" spans="2:5" x14ac:dyDescent="0.4">
      <c r="B104" s="21" t="str">
        <f>IF(A104&lt;&gt;"",VLOOKUP(A104,Tasks!B:G,2,FALSE),"")</f>
        <v/>
      </c>
      <c r="C104" s="20" t="str">
        <f>IF(A104&lt;&gt;"",VLOOKUP(A104,Tasks!B:G,4,FALSE),"")</f>
        <v/>
      </c>
      <c r="D104" s="20" t="str">
        <f>IF(A104&lt;&gt;"",VLOOKUP(A104,Tasks!B:G,5,FALSE),"")</f>
        <v/>
      </c>
      <c r="E104" s="21" t="str">
        <f>IF(A104&lt;&gt;"",VLOOKUP(A104,Tasks!B:G,6,FALSE),"")</f>
        <v/>
      </c>
    </row>
    <row r="105" spans="2:5" x14ac:dyDescent="0.4">
      <c r="B105" s="21" t="str">
        <f>IF(A105&lt;&gt;"",VLOOKUP(A105,Tasks!B:G,2,FALSE),"")</f>
        <v/>
      </c>
      <c r="C105" s="20" t="str">
        <f>IF(A105&lt;&gt;"",VLOOKUP(A105,Tasks!B:G,4,FALSE),"")</f>
        <v/>
      </c>
      <c r="D105" s="20" t="str">
        <f>IF(A105&lt;&gt;"",VLOOKUP(A105,Tasks!B:G,5,FALSE),"")</f>
        <v/>
      </c>
      <c r="E105" s="21" t="str">
        <f>IF(A105&lt;&gt;"",VLOOKUP(A105,Tasks!B:G,6,FALSE),"")</f>
        <v/>
      </c>
    </row>
    <row r="106" spans="2:5" x14ac:dyDescent="0.4">
      <c r="B106" s="21" t="str">
        <f>IF(A106&lt;&gt;"",VLOOKUP(A106,Tasks!B:G,2,FALSE),"")</f>
        <v/>
      </c>
      <c r="C106" s="20" t="str">
        <f>IF(A106&lt;&gt;"",VLOOKUP(A106,Tasks!B:G,4,FALSE),"")</f>
        <v/>
      </c>
      <c r="D106" s="20" t="str">
        <f>IF(A106&lt;&gt;"",VLOOKUP(A106,Tasks!B:G,5,FALSE),"")</f>
        <v/>
      </c>
      <c r="E106" s="21" t="str">
        <f>IF(A106&lt;&gt;"",VLOOKUP(A106,Tasks!B:G,6,FALSE),"")</f>
        <v/>
      </c>
    </row>
    <row r="107" spans="2:5" x14ac:dyDescent="0.4">
      <c r="B107" s="21" t="str">
        <f>IF(A107&lt;&gt;"",VLOOKUP(A107,Tasks!B:G,2,FALSE),"")</f>
        <v/>
      </c>
      <c r="C107" s="20" t="str">
        <f>IF(A107&lt;&gt;"",VLOOKUP(A107,Tasks!B:G,4,FALSE),"")</f>
        <v/>
      </c>
      <c r="D107" s="20" t="str">
        <f>IF(A107&lt;&gt;"",VLOOKUP(A107,Tasks!B:G,5,FALSE),"")</f>
        <v/>
      </c>
      <c r="E107" s="21" t="str">
        <f>IF(A107&lt;&gt;"",VLOOKUP(A107,Tasks!B:G,6,FALSE),"")</f>
        <v/>
      </c>
    </row>
    <row r="108" spans="2:5" x14ac:dyDescent="0.4">
      <c r="B108" s="21" t="str">
        <f>IF(A108&lt;&gt;"",VLOOKUP(A108,Tasks!B:G,2,FALSE),"")</f>
        <v/>
      </c>
      <c r="C108" s="20" t="str">
        <f>IF(A108&lt;&gt;"",VLOOKUP(A108,Tasks!B:G,4,FALSE),"")</f>
        <v/>
      </c>
      <c r="D108" s="20" t="str">
        <f>IF(A108&lt;&gt;"",VLOOKUP(A108,Tasks!B:G,5,FALSE),"")</f>
        <v/>
      </c>
      <c r="E108" s="21" t="str">
        <f>IF(A108&lt;&gt;"",VLOOKUP(A108,Tasks!B:G,6,FALSE),"")</f>
        <v/>
      </c>
    </row>
    <row r="109" spans="2:5" x14ac:dyDescent="0.4">
      <c r="B109" s="21" t="str">
        <f>IF(A109&lt;&gt;"",VLOOKUP(A109,Tasks!B:G,2,FALSE),"")</f>
        <v/>
      </c>
      <c r="C109" s="20" t="str">
        <f>IF(A109&lt;&gt;"",VLOOKUP(A109,Tasks!B:G,4,FALSE),"")</f>
        <v/>
      </c>
      <c r="D109" s="20" t="str">
        <f>IF(A109&lt;&gt;"",VLOOKUP(A109,Tasks!B:G,5,FALSE),"")</f>
        <v/>
      </c>
      <c r="E109" s="21" t="str">
        <f>IF(A109&lt;&gt;"",VLOOKUP(A109,Tasks!B:G,6,FALSE),"")</f>
        <v/>
      </c>
    </row>
    <row r="110" spans="2:5" x14ac:dyDescent="0.4">
      <c r="B110" s="21" t="str">
        <f>IF(A110&lt;&gt;"",VLOOKUP(A110,Tasks!B:G,2,FALSE),"")</f>
        <v/>
      </c>
      <c r="C110" s="20" t="str">
        <f>IF(A110&lt;&gt;"",VLOOKUP(A110,Tasks!B:G,4,FALSE),"")</f>
        <v/>
      </c>
      <c r="D110" s="20" t="str">
        <f>IF(A110&lt;&gt;"",VLOOKUP(A110,Tasks!B:G,5,FALSE),"")</f>
        <v/>
      </c>
      <c r="E110" s="21" t="str">
        <f>IF(A110&lt;&gt;"",VLOOKUP(A110,Tasks!B:G,6,FALSE),"")</f>
        <v/>
      </c>
    </row>
    <row r="111" spans="2:5" x14ac:dyDescent="0.4">
      <c r="B111" s="21" t="str">
        <f>IF(A111&lt;&gt;"",VLOOKUP(A111,Tasks!B:G,2,FALSE),"")</f>
        <v/>
      </c>
      <c r="C111" s="20" t="str">
        <f>IF(A111&lt;&gt;"",VLOOKUP(A111,Tasks!B:G,4,FALSE),"")</f>
        <v/>
      </c>
      <c r="D111" s="20" t="str">
        <f>IF(A111&lt;&gt;"",VLOOKUP(A111,Tasks!B:G,5,FALSE),"")</f>
        <v/>
      </c>
      <c r="E111" s="21" t="str">
        <f>IF(A111&lt;&gt;"",VLOOKUP(A111,Tasks!B:G,6,FALSE),"")</f>
        <v/>
      </c>
    </row>
    <row r="112" spans="2:5" x14ac:dyDescent="0.4">
      <c r="B112" s="21" t="str">
        <f>IF(A112&lt;&gt;"",VLOOKUP(A112,Tasks!B:G,2,FALSE),"")</f>
        <v/>
      </c>
      <c r="C112" s="20" t="str">
        <f>IF(A112&lt;&gt;"",VLOOKUP(A112,Tasks!B:G,4,FALSE),"")</f>
        <v/>
      </c>
      <c r="D112" s="20" t="str">
        <f>IF(A112&lt;&gt;"",VLOOKUP(A112,Tasks!B:G,5,FALSE),"")</f>
        <v/>
      </c>
      <c r="E112" s="21" t="str">
        <f>IF(A112&lt;&gt;"",VLOOKUP(A112,Tasks!B:G,6,FALSE),"")</f>
        <v/>
      </c>
    </row>
    <row r="113" spans="2:5" x14ac:dyDescent="0.4">
      <c r="B113" s="21" t="str">
        <f>IF(A113&lt;&gt;"",VLOOKUP(A113,Tasks!B:G,2,FALSE),"")</f>
        <v/>
      </c>
      <c r="C113" s="20" t="str">
        <f>IF(A113&lt;&gt;"",VLOOKUP(A113,Tasks!B:G,4,FALSE),"")</f>
        <v/>
      </c>
      <c r="D113" s="20" t="str">
        <f>IF(A113&lt;&gt;"",VLOOKUP(A113,Tasks!B:G,5,FALSE),"")</f>
        <v/>
      </c>
      <c r="E113" s="21" t="str">
        <f>IF(A113&lt;&gt;"",VLOOKUP(A113,Tasks!B:G,6,FALSE),"")</f>
        <v/>
      </c>
    </row>
    <row r="114" spans="2:5" x14ac:dyDescent="0.4">
      <c r="B114" s="21" t="str">
        <f>IF(A114&lt;&gt;"",VLOOKUP(A114,Tasks!B:G,2,FALSE),"")</f>
        <v/>
      </c>
      <c r="C114" s="20" t="str">
        <f>IF(A114&lt;&gt;"",VLOOKUP(A114,Tasks!B:G,4,FALSE),"")</f>
        <v/>
      </c>
      <c r="D114" s="20" t="str">
        <f>IF(A114&lt;&gt;"",VLOOKUP(A114,Tasks!B:G,5,FALSE),"")</f>
        <v/>
      </c>
      <c r="E114" s="21" t="str">
        <f>IF(A114&lt;&gt;"",VLOOKUP(A114,Tasks!B:G,6,FALSE),"")</f>
        <v/>
      </c>
    </row>
    <row r="115" spans="2:5" x14ac:dyDescent="0.4">
      <c r="B115" s="21" t="str">
        <f>IF(A115&lt;&gt;"",VLOOKUP(A115,Tasks!B:G,2,FALSE),"")</f>
        <v/>
      </c>
      <c r="C115" s="20" t="str">
        <f>IF(A115&lt;&gt;"",VLOOKUP(A115,Tasks!B:G,4,FALSE),"")</f>
        <v/>
      </c>
      <c r="D115" s="20" t="str">
        <f>IF(A115&lt;&gt;"",VLOOKUP(A115,Tasks!B:G,5,FALSE),"")</f>
        <v/>
      </c>
      <c r="E115" s="21" t="str">
        <f>IF(A115&lt;&gt;"",VLOOKUP(A115,Tasks!B:G,6,FALSE),"")</f>
        <v/>
      </c>
    </row>
    <row r="116" spans="2:5" x14ac:dyDescent="0.4">
      <c r="B116" s="21" t="str">
        <f>IF(A116&lt;&gt;"",VLOOKUP(A116,Tasks!B:G,2,FALSE),"")</f>
        <v/>
      </c>
      <c r="C116" s="20" t="str">
        <f>IF(A116&lt;&gt;"",VLOOKUP(A116,Tasks!B:G,4,FALSE),"")</f>
        <v/>
      </c>
      <c r="D116" s="20" t="str">
        <f>IF(A116&lt;&gt;"",VLOOKUP(A116,Tasks!B:G,5,FALSE),"")</f>
        <v/>
      </c>
      <c r="E116" s="21" t="str">
        <f>IF(A116&lt;&gt;"",VLOOKUP(A116,Tasks!B:G,6,FALSE),"")</f>
        <v/>
      </c>
    </row>
    <row r="117" spans="2:5" x14ac:dyDescent="0.4">
      <c r="B117" s="21" t="str">
        <f>IF(A117&lt;&gt;"",VLOOKUP(A117,Tasks!B:G,2,FALSE),"")</f>
        <v/>
      </c>
      <c r="C117" s="20" t="str">
        <f>IF(A117&lt;&gt;"",VLOOKUP(A117,Tasks!B:G,4,FALSE),"")</f>
        <v/>
      </c>
      <c r="D117" s="20" t="str">
        <f>IF(A117&lt;&gt;"",VLOOKUP(A117,Tasks!B:G,5,FALSE),"")</f>
        <v/>
      </c>
      <c r="E117" s="21" t="str">
        <f>IF(A117&lt;&gt;"",VLOOKUP(A117,Tasks!B:G,6,FALSE),"")</f>
        <v/>
      </c>
    </row>
    <row r="118" spans="2:5" x14ac:dyDescent="0.4">
      <c r="B118" s="21" t="str">
        <f>IF(A118&lt;&gt;"",VLOOKUP(A118,Tasks!B:G,2,FALSE),"")</f>
        <v/>
      </c>
      <c r="C118" s="20" t="str">
        <f>IF(A118&lt;&gt;"",VLOOKUP(A118,Tasks!B:G,4,FALSE),"")</f>
        <v/>
      </c>
      <c r="D118" s="20" t="str">
        <f>IF(A118&lt;&gt;"",VLOOKUP(A118,Tasks!B:G,5,FALSE),"")</f>
        <v/>
      </c>
      <c r="E118" s="21" t="str">
        <f>IF(A118&lt;&gt;"",VLOOKUP(A118,Tasks!B:G,6,FALSE),"")</f>
        <v/>
      </c>
    </row>
    <row r="119" spans="2:5" x14ac:dyDescent="0.4">
      <c r="B119" s="21" t="str">
        <f>IF(A119&lt;&gt;"",VLOOKUP(A119,Tasks!B:G,2,FALSE),"")</f>
        <v/>
      </c>
      <c r="C119" s="20" t="str">
        <f>IF(A119&lt;&gt;"",VLOOKUP(A119,Tasks!B:G,4,FALSE),"")</f>
        <v/>
      </c>
      <c r="D119" s="20" t="str">
        <f>IF(A119&lt;&gt;"",VLOOKUP(A119,Tasks!B:G,5,FALSE),"")</f>
        <v/>
      </c>
      <c r="E119" s="21" t="str">
        <f>IF(A119&lt;&gt;"",VLOOKUP(A119,Tasks!B:G,6,FALSE),"")</f>
        <v/>
      </c>
    </row>
    <row r="120" spans="2:5" x14ac:dyDescent="0.4">
      <c r="B120" s="21" t="str">
        <f>IF(A120&lt;&gt;"",VLOOKUP(A120,Tasks!B:G,2,FALSE),"")</f>
        <v/>
      </c>
      <c r="C120" s="20" t="str">
        <f>IF(A120&lt;&gt;"",VLOOKUP(A120,Tasks!B:G,4,FALSE),"")</f>
        <v/>
      </c>
      <c r="D120" s="20" t="str">
        <f>IF(A120&lt;&gt;"",VLOOKUP(A120,Tasks!B:G,5,FALSE),"")</f>
        <v/>
      </c>
      <c r="E120" s="21" t="str">
        <f>IF(A120&lt;&gt;"",VLOOKUP(A120,Tasks!B:G,6,FALSE),"")</f>
        <v/>
      </c>
    </row>
    <row r="121" spans="2:5" x14ac:dyDescent="0.4">
      <c r="B121" s="21" t="str">
        <f>IF(A121&lt;&gt;"",VLOOKUP(A121,Tasks!B:G,2,FALSE),"")</f>
        <v/>
      </c>
      <c r="C121" s="20" t="str">
        <f>IF(A121&lt;&gt;"",VLOOKUP(A121,Tasks!B:G,4,FALSE),"")</f>
        <v/>
      </c>
      <c r="D121" s="20" t="str">
        <f>IF(A121&lt;&gt;"",VLOOKUP(A121,Tasks!B:G,5,FALSE),"")</f>
        <v/>
      </c>
      <c r="E121" s="21" t="str">
        <f>IF(A121&lt;&gt;"",VLOOKUP(A121,Tasks!B:G,6,FALSE),"")</f>
        <v/>
      </c>
    </row>
    <row r="122" spans="2:5" x14ac:dyDescent="0.4">
      <c r="B122" s="21" t="str">
        <f>IF(A122&lt;&gt;"",VLOOKUP(A122,Tasks!B:G,2,FALSE),"")</f>
        <v/>
      </c>
      <c r="C122" s="20" t="str">
        <f>IF(A122&lt;&gt;"",VLOOKUP(A122,Tasks!B:G,4,FALSE),"")</f>
        <v/>
      </c>
      <c r="D122" s="20" t="str">
        <f>IF(A122&lt;&gt;"",VLOOKUP(A122,Tasks!B:G,5,FALSE),"")</f>
        <v/>
      </c>
      <c r="E122" s="21" t="str">
        <f>IF(A122&lt;&gt;"",VLOOKUP(A122,Tasks!B:G,6,FALSE),"")</f>
        <v/>
      </c>
    </row>
    <row r="123" spans="2:5" x14ac:dyDescent="0.4">
      <c r="B123" s="21" t="str">
        <f>IF(A123&lt;&gt;"",VLOOKUP(A123,Tasks!B:G,2,FALSE),"")</f>
        <v/>
      </c>
      <c r="C123" s="20" t="str">
        <f>IF(A123&lt;&gt;"",VLOOKUP(A123,Tasks!B:G,4,FALSE),"")</f>
        <v/>
      </c>
      <c r="D123" s="20" t="str">
        <f>IF(A123&lt;&gt;"",VLOOKUP(A123,Tasks!B:G,5,FALSE),"")</f>
        <v/>
      </c>
      <c r="E123" s="21" t="str">
        <f>IF(A123&lt;&gt;"",VLOOKUP(A123,Tasks!B:G,6,FALSE),"")</f>
        <v/>
      </c>
    </row>
    <row r="124" spans="2:5" x14ac:dyDescent="0.4">
      <c r="B124" s="21" t="str">
        <f>IF(A124&lt;&gt;"",VLOOKUP(A124,Tasks!B:G,2,FALSE),"")</f>
        <v/>
      </c>
      <c r="C124" s="20" t="str">
        <f>IF(A124&lt;&gt;"",VLOOKUP(A124,Tasks!B:G,4,FALSE),"")</f>
        <v/>
      </c>
      <c r="D124" s="20" t="str">
        <f>IF(A124&lt;&gt;"",VLOOKUP(A124,Tasks!B:G,5,FALSE),"")</f>
        <v/>
      </c>
      <c r="E124" s="21" t="str">
        <f>IF(A124&lt;&gt;"",VLOOKUP(A124,Tasks!B:G,6,FALSE),"")</f>
        <v/>
      </c>
    </row>
    <row r="125" spans="2:5" x14ac:dyDescent="0.4">
      <c r="B125" s="21" t="str">
        <f>IF(A125&lt;&gt;"",VLOOKUP(A125,Tasks!B:G,2,FALSE),"")</f>
        <v/>
      </c>
      <c r="C125" s="20" t="str">
        <f>IF(A125&lt;&gt;"",VLOOKUP(A125,Tasks!B:G,4,FALSE),"")</f>
        <v/>
      </c>
      <c r="D125" s="20" t="str">
        <f>IF(A125&lt;&gt;"",VLOOKUP(A125,Tasks!B:G,5,FALSE),"")</f>
        <v/>
      </c>
      <c r="E125" s="21" t="str">
        <f>IF(A125&lt;&gt;"",VLOOKUP(A125,Tasks!B:G,6,FALSE),"")</f>
        <v/>
      </c>
    </row>
    <row r="126" spans="2:5" x14ac:dyDescent="0.4">
      <c r="B126" s="21" t="str">
        <f>IF(A126&lt;&gt;"",VLOOKUP(A126,Tasks!B:G,2,FALSE),"")</f>
        <v/>
      </c>
      <c r="C126" s="20" t="str">
        <f>IF(A126&lt;&gt;"",VLOOKUP(A126,Tasks!B:G,4,FALSE),"")</f>
        <v/>
      </c>
      <c r="D126" s="20" t="str">
        <f>IF(A126&lt;&gt;"",VLOOKUP(A126,Tasks!B:G,5,FALSE),"")</f>
        <v/>
      </c>
      <c r="E126" s="21" t="str">
        <f>IF(A126&lt;&gt;"",VLOOKUP(A126,Tasks!B:G,6,FALSE),"")</f>
        <v/>
      </c>
    </row>
    <row r="127" spans="2:5" x14ac:dyDescent="0.4">
      <c r="B127" s="21" t="str">
        <f>IF(A127&lt;&gt;"",VLOOKUP(A127,Tasks!B:G,2,FALSE),"")</f>
        <v/>
      </c>
      <c r="C127" s="20" t="str">
        <f>IF(A127&lt;&gt;"",VLOOKUP(A127,Tasks!B:G,4,FALSE),"")</f>
        <v/>
      </c>
      <c r="D127" s="20" t="str">
        <f>IF(A127&lt;&gt;"",VLOOKUP(A127,Tasks!B:G,5,FALSE),"")</f>
        <v/>
      </c>
      <c r="E127" s="21" t="str">
        <f>IF(A127&lt;&gt;"",VLOOKUP(A127,Tasks!B:G,6,FALSE),"")</f>
        <v/>
      </c>
    </row>
    <row r="128" spans="2:5" x14ac:dyDescent="0.4">
      <c r="B128" s="21" t="str">
        <f>IF(A128&lt;&gt;"",VLOOKUP(A128,Tasks!B:G,2,FALSE),"")</f>
        <v/>
      </c>
      <c r="C128" s="20" t="str">
        <f>IF(A128&lt;&gt;"",VLOOKUP(A128,Tasks!B:G,4,FALSE),"")</f>
        <v/>
      </c>
      <c r="D128" s="20" t="str">
        <f>IF(A128&lt;&gt;"",VLOOKUP(A128,Tasks!B:G,5,FALSE),"")</f>
        <v/>
      </c>
      <c r="E128" s="21" t="str">
        <f>IF(A128&lt;&gt;"",VLOOKUP(A128,Tasks!B:G,6,FALSE),"")</f>
        <v/>
      </c>
    </row>
    <row r="129" spans="2:5" x14ac:dyDescent="0.4">
      <c r="B129" s="21" t="str">
        <f>IF(A129&lt;&gt;"",VLOOKUP(A129,Tasks!B:G,2,FALSE),"")</f>
        <v/>
      </c>
      <c r="C129" s="20" t="str">
        <f>IF(A129&lt;&gt;"",VLOOKUP(A129,Tasks!B:G,4,FALSE),"")</f>
        <v/>
      </c>
      <c r="D129" s="20" t="str">
        <f>IF(A129&lt;&gt;"",VLOOKUP(A129,Tasks!B:G,5,FALSE),"")</f>
        <v/>
      </c>
      <c r="E129" s="21" t="str">
        <f>IF(A129&lt;&gt;"",VLOOKUP(A129,Tasks!B:G,6,FALSE),"")</f>
        <v/>
      </c>
    </row>
    <row r="130" spans="2:5" x14ac:dyDescent="0.4">
      <c r="B130" s="21" t="str">
        <f>IF(A130&lt;&gt;"",VLOOKUP(A130,Tasks!B:G,2,FALSE),"")</f>
        <v/>
      </c>
      <c r="C130" s="20" t="str">
        <f>IF(A130&lt;&gt;"",VLOOKUP(A130,Tasks!B:G,4,FALSE),"")</f>
        <v/>
      </c>
      <c r="D130" s="20" t="str">
        <f>IF(A130&lt;&gt;"",VLOOKUP(A130,Tasks!B:G,5,FALSE),"")</f>
        <v/>
      </c>
      <c r="E130" s="21" t="str">
        <f>IF(A130&lt;&gt;"",VLOOKUP(A130,Tasks!B:G,6,FALSE),"")</f>
        <v/>
      </c>
    </row>
    <row r="131" spans="2:5" x14ac:dyDescent="0.4">
      <c r="B131" s="21" t="str">
        <f>IF(A131&lt;&gt;"",VLOOKUP(A131,Tasks!B:G,2,FALSE),"")</f>
        <v/>
      </c>
      <c r="C131" s="20" t="str">
        <f>IF(A131&lt;&gt;"",VLOOKUP(A131,Tasks!B:G,4,FALSE),"")</f>
        <v/>
      </c>
      <c r="D131" s="20" t="str">
        <f>IF(A131&lt;&gt;"",VLOOKUP(A131,Tasks!B:G,5,FALSE),"")</f>
        <v/>
      </c>
      <c r="E131" s="21" t="str">
        <f>IF(A131&lt;&gt;"",VLOOKUP(A131,Tasks!B:G,6,FALSE),"")</f>
        <v/>
      </c>
    </row>
    <row r="132" spans="2:5" x14ac:dyDescent="0.4">
      <c r="B132" s="21" t="str">
        <f>IF(A132&lt;&gt;"",VLOOKUP(A132,Tasks!B:G,2,FALSE),"")</f>
        <v/>
      </c>
      <c r="C132" s="20" t="str">
        <f>IF(A132&lt;&gt;"",VLOOKUP(A132,Tasks!B:G,4,FALSE),"")</f>
        <v/>
      </c>
      <c r="D132" s="20" t="str">
        <f>IF(A132&lt;&gt;"",VLOOKUP(A132,Tasks!B:G,5,FALSE),"")</f>
        <v/>
      </c>
      <c r="E132" s="21" t="str">
        <f>IF(A132&lt;&gt;"",VLOOKUP(A132,Tasks!B:G,6,FALSE),"")</f>
        <v/>
      </c>
    </row>
    <row r="133" spans="2:5" x14ac:dyDescent="0.4">
      <c r="B133" s="21" t="str">
        <f>IF(A133&lt;&gt;"",VLOOKUP(A133,Tasks!B:G,2,FALSE),"")</f>
        <v/>
      </c>
      <c r="C133" s="20" t="str">
        <f>IF(A133&lt;&gt;"",VLOOKUP(A133,Tasks!B:G,4,FALSE),"")</f>
        <v/>
      </c>
      <c r="D133" s="20" t="str">
        <f>IF(A133&lt;&gt;"",VLOOKUP(A133,Tasks!B:G,5,FALSE),"")</f>
        <v/>
      </c>
      <c r="E133" s="21" t="str">
        <f>IF(A133&lt;&gt;"",VLOOKUP(A133,Tasks!B:G,6,FALSE),"")</f>
        <v/>
      </c>
    </row>
    <row r="134" spans="2:5" x14ac:dyDescent="0.4">
      <c r="B134" s="21" t="str">
        <f>IF(A134&lt;&gt;"",VLOOKUP(A134,Tasks!B:G,2,FALSE),"")</f>
        <v/>
      </c>
      <c r="C134" s="20" t="str">
        <f>IF(A134&lt;&gt;"",VLOOKUP(A134,Tasks!B:G,4,FALSE),"")</f>
        <v/>
      </c>
      <c r="D134" s="20" t="str">
        <f>IF(A134&lt;&gt;"",VLOOKUP(A134,Tasks!B:G,5,FALSE),"")</f>
        <v/>
      </c>
      <c r="E134" s="21" t="str">
        <f>IF(A134&lt;&gt;"",VLOOKUP(A134,Tasks!B:G,6,FALSE),"")</f>
        <v/>
      </c>
    </row>
    <row r="135" spans="2:5" x14ac:dyDescent="0.4">
      <c r="B135" s="21" t="str">
        <f>IF(A135&lt;&gt;"",VLOOKUP(A135,Tasks!B:G,2,FALSE),"")</f>
        <v/>
      </c>
      <c r="C135" s="20" t="str">
        <f>IF(A135&lt;&gt;"",VLOOKUP(A135,Tasks!B:G,4,FALSE),"")</f>
        <v/>
      </c>
      <c r="D135" s="20" t="str">
        <f>IF(A135&lt;&gt;"",VLOOKUP(A135,Tasks!B:G,5,FALSE),"")</f>
        <v/>
      </c>
      <c r="E135" s="21" t="str">
        <f>IF(A135&lt;&gt;"",VLOOKUP(A135,Tasks!B:G,6,FALSE),"")</f>
        <v/>
      </c>
    </row>
    <row r="136" spans="2:5" x14ac:dyDescent="0.4">
      <c r="B136" s="21" t="str">
        <f>IF(A136&lt;&gt;"",VLOOKUP(A136,Tasks!B:G,2,FALSE),"")</f>
        <v/>
      </c>
      <c r="C136" s="20" t="str">
        <f>IF(A136&lt;&gt;"",VLOOKUP(A136,Tasks!B:G,4,FALSE),"")</f>
        <v/>
      </c>
      <c r="D136" s="20" t="str">
        <f>IF(A136&lt;&gt;"",VLOOKUP(A136,Tasks!B:G,5,FALSE),"")</f>
        <v/>
      </c>
      <c r="E136" s="21" t="str">
        <f>IF(A136&lt;&gt;"",VLOOKUP(A136,Tasks!B:G,6,FALSE),"")</f>
        <v/>
      </c>
    </row>
    <row r="137" spans="2:5" x14ac:dyDescent="0.4">
      <c r="B137" s="21" t="str">
        <f>IF(A137&lt;&gt;"",VLOOKUP(A137,Tasks!B:G,2,FALSE),"")</f>
        <v/>
      </c>
      <c r="C137" s="20" t="str">
        <f>IF(A137&lt;&gt;"",VLOOKUP(A137,Tasks!B:G,4,FALSE),"")</f>
        <v/>
      </c>
      <c r="D137" s="20" t="str">
        <f>IF(A137&lt;&gt;"",VLOOKUP(A137,Tasks!B:G,5,FALSE),"")</f>
        <v/>
      </c>
      <c r="E137" s="21" t="str">
        <f>IF(A137&lt;&gt;"",VLOOKUP(A137,Tasks!B:G,6,FALSE),"")</f>
        <v/>
      </c>
    </row>
    <row r="138" spans="2:5" x14ac:dyDescent="0.4">
      <c r="B138" s="21" t="str">
        <f>IF(A138&lt;&gt;"",VLOOKUP(A138,Tasks!B:G,2,FALSE),"")</f>
        <v/>
      </c>
      <c r="C138" s="20" t="str">
        <f>IF(A138&lt;&gt;"",VLOOKUP(A138,Tasks!B:G,4,FALSE),"")</f>
        <v/>
      </c>
      <c r="D138" s="20" t="str">
        <f>IF(A138&lt;&gt;"",VLOOKUP(A138,Tasks!B:G,5,FALSE),"")</f>
        <v/>
      </c>
      <c r="E138" s="21" t="str">
        <f>IF(A138&lt;&gt;"",VLOOKUP(A138,Tasks!B:G,6,FALSE),"")</f>
        <v/>
      </c>
    </row>
    <row r="139" spans="2:5" x14ac:dyDescent="0.4">
      <c r="B139" s="21" t="str">
        <f>IF(A139&lt;&gt;"",VLOOKUP(A139,Tasks!B:G,2,FALSE),"")</f>
        <v/>
      </c>
      <c r="C139" s="20" t="str">
        <f>IF(A139&lt;&gt;"",VLOOKUP(A139,Tasks!B:G,4,FALSE),"")</f>
        <v/>
      </c>
      <c r="D139" s="20" t="str">
        <f>IF(A139&lt;&gt;"",VLOOKUP(A139,Tasks!B:G,5,FALSE),"")</f>
        <v/>
      </c>
      <c r="E139" s="21" t="str">
        <f>IF(A139&lt;&gt;"",VLOOKUP(A139,Tasks!B:G,6,FALSE),"")</f>
        <v/>
      </c>
    </row>
    <row r="140" spans="2:5" x14ac:dyDescent="0.4">
      <c r="B140" s="21" t="str">
        <f>IF(A140&lt;&gt;"",VLOOKUP(A140,Tasks!B:G,2,FALSE),"")</f>
        <v/>
      </c>
      <c r="C140" s="20" t="str">
        <f>IF(A140&lt;&gt;"",VLOOKUP(A140,Tasks!B:G,4,FALSE),"")</f>
        <v/>
      </c>
      <c r="D140" s="20" t="str">
        <f>IF(A140&lt;&gt;"",VLOOKUP(A140,Tasks!B:G,5,FALSE),"")</f>
        <v/>
      </c>
      <c r="E140" s="21" t="str">
        <f>IF(A140&lt;&gt;"",VLOOKUP(A140,Tasks!B:G,6,FALSE),"")</f>
        <v/>
      </c>
    </row>
    <row r="141" spans="2:5" x14ac:dyDescent="0.4">
      <c r="B141" s="21" t="str">
        <f>IF(A141&lt;&gt;"",VLOOKUP(A141,Tasks!B:G,2,FALSE),"")</f>
        <v/>
      </c>
      <c r="C141" s="20" t="str">
        <f>IF(A141&lt;&gt;"",VLOOKUP(A141,Tasks!B:G,4,FALSE),"")</f>
        <v/>
      </c>
      <c r="D141" s="20" t="str">
        <f>IF(A141&lt;&gt;"",VLOOKUP(A141,Tasks!B:G,5,FALSE),"")</f>
        <v/>
      </c>
      <c r="E141" s="21" t="str">
        <f>IF(A141&lt;&gt;"",VLOOKUP(A141,Tasks!B:G,6,FALSE),"")</f>
        <v/>
      </c>
    </row>
    <row r="142" spans="2:5" x14ac:dyDescent="0.4">
      <c r="B142" s="21" t="str">
        <f>IF(A142&lt;&gt;"",VLOOKUP(A142,Tasks!B:G,2,FALSE),"")</f>
        <v/>
      </c>
      <c r="C142" s="20" t="str">
        <f>IF(A142&lt;&gt;"",VLOOKUP(A142,Tasks!B:G,4,FALSE),"")</f>
        <v/>
      </c>
      <c r="D142" s="20" t="str">
        <f>IF(A142&lt;&gt;"",VLOOKUP(A142,Tasks!B:G,5,FALSE),"")</f>
        <v/>
      </c>
      <c r="E142" s="21" t="str">
        <f>IF(A142&lt;&gt;"",VLOOKUP(A142,Tasks!B:G,6,FALSE),"")</f>
        <v/>
      </c>
    </row>
    <row r="143" spans="2:5" x14ac:dyDescent="0.4">
      <c r="B143" s="21" t="str">
        <f>IF(A143&lt;&gt;"",VLOOKUP(A143,Tasks!B:G,2,FALSE),"")</f>
        <v/>
      </c>
      <c r="C143" s="20" t="str">
        <f>IF(A143&lt;&gt;"",VLOOKUP(A143,Tasks!B:G,4,FALSE),"")</f>
        <v/>
      </c>
      <c r="D143" s="20" t="str">
        <f>IF(A143&lt;&gt;"",VLOOKUP(A143,Tasks!B:G,5,FALSE),"")</f>
        <v/>
      </c>
      <c r="E143" s="21" t="str">
        <f>IF(A143&lt;&gt;"",VLOOKUP(A143,Tasks!B:G,6,FALSE),"")</f>
        <v/>
      </c>
    </row>
    <row r="144" spans="2:5" x14ac:dyDescent="0.4">
      <c r="B144" s="21" t="str">
        <f>IF(A144&lt;&gt;"",VLOOKUP(A144,Tasks!B:G,2,FALSE),"")</f>
        <v/>
      </c>
      <c r="C144" s="20" t="str">
        <f>IF(A144&lt;&gt;"",VLOOKUP(A144,Tasks!B:G,4,FALSE),"")</f>
        <v/>
      </c>
      <c r="D144" s="20" t="str">
        <f>IF(A144&lt;&gt;"",VLOOKUP(A144,Tasks!B:G,5,FALSE),"")</f>
        <v/>
      </c>
      <c r="E144" s="21" t="str">
        <f>IF(A144&lt;&gt;"",VLOOKUP(A144,Tasks!B:G,6,FALSE),"")</f>
        <v/>
      </c>
    </row>
    <row r="145" spans="2:5" x14ac:dyDescent="0.4">
      <c r="B145" s="21" t="str">
        <f>IF(A145&lt;&gt;"",VLOOKUP(A145,Tasks!B:G,2,FALSE),"")</f>
        <v/>
      </c>
      <c r="C145" s="20" t="str">
        <f>IF(A145&lt;&gt;"",VLOOKUP(A145,Tasks!B:G,4,FALSE),"")</f>
        <v/>
      </c>
      <c r="D145" s="20" t="str">
        <f>IF(A145&lt;&gt;"",VLOOKUP(A145,Tasks!B:G,5,FALSE),"")</f>
        <v/>
      </c>
      <c r="E145" s="21" t="str">
        <f>IF(A145&lt;&gt;"",VLOOKUP(A145,Tasks!B:G,6,FALSE),"")</f>
        <v/>
      </c>
    </row>
    <row r="146" spans="2:5" x14ac:dyDescent="0.4">
      <c r="B146" s="21" t="str">
        <f>IF(A146&lt;&gt;"",VLOOKUP(A146,Tasks!B:G,2,FALSE),"")</f>
        <v/>
      </c>
      <c r="C146" s="20" t="str">
        <f>IF(A146&lt;&gt;"",VLOOKUP(A146,Tasks!B:G,4,FALSE),"")</f>
        <v/>
      </c>
      <c r="D146" s="20" t="str">
        <f>IF(A146&lt;&gt;"",VLOOKUP(A146,Tasks!B:G,5,FALSE),"")</f>
        <v/>
      </c>
      <c r="E146" s="21" t="str">
        <f>IF(A146&lt;&gt;"",VLOOKUP(A146,Tasks!B:G,6,FALSE),"")</f>
        <v/>
      </c>
    </row>
    <row r="147" spans="2:5" x14ac:dyDescent="0.4">
      <c r="B147" s="21" t="str">
        <f>IF(A147&lt;&gt;"",VLOOKUP(A147,Tasks!B:G,2,FALSE),"")</f>
        <v/>
      </c>
      <c r="C147" s="20" t="str">
        <f>IF(A147&lt;&gt;"",VLOOKUP(A147,Tasks!B:G,4,FALSE),"")</f>
        <v/>
      </c>
      <c r="D147" s="20" t="str">
        <f>IF(A147&lt;&gt;"",VLOOKUP(A147,Tasks!B:G,5,FALSE),"")</f>
        <v/>
      </c>
      <c r="E147" s="21" t="str">
        <f>IF(A147&lt;&gt;"",VLOOKUP(A147,Tasks!B:G,6,FALSE),"")</f>
        <v/>
      </c>
    </row>
    <row r="148" spans="2:5" x14ac:dyDescent="0.4">
      <c r="B148" s="21" t="str">
        <f>IF(A148&lt;&gt;"",VLOOKUP(A148,Tasks!B:G,2,FALSE),"")</f>
        <v/>
      </c>
      <c r="C148" s="20" t="str">
        <f>IF(A148&lt;&gt;"",VLOOKUP(A148,Tasks!B:G,4,FALSE),"")</f>
        <v/>
      </c>
      <c r="D148" s="20" t="str">
        <f>IF(A148&lt;&gt;"",VLOOKUP(A148,Tasks!B:G,5,FALSE),"")</f>
        <v/>
      </c>
      <c r="E148" s="21" t="str">
        <f>IF(A148&lt;&gt;"",VLOOKUP(A148,Tasks!B:G,6,FALSE),"")</f>
        <v/>
      </c>
    </row>
    <row r="149" spans="2:5" x14ac:dyDescent="0.4">
      <c r="B149" s="21" t="str">
        <f>IF(A149&lt;&gt;"",VLOOKUP(A149,Tasks!B:G,2,FALSE),"")</f>
        <v/>
      </c>
      <c r="C149" s="20" t="str">
        <f>IF(A149&lt;&gt;"",VLOOKUP(A149,Tasks!B:G,4,FALSE),"")</f>
        <v/>
      </c>
      <c r="D149" s="20" t="str">
        <f>IF(A149&lt;&gt;"",VLOOKUP(A149,Tasks!B:G,5,FALSE),"")</f>
        <v/>
      </c>
      <c r="E149" s="21" t="str">
        <f>IF(A149&lt;&gt;"",VLOOKUP(A149,Tasks!B:G,6,FALSE),"")</f>
        <v/>
      </c>
    </row>
    <row r="150" spans="2:5" x14ac:dyDescent="0.4">
      <c r="B150" s="21" t="str">
        <f>IF(A150&lt;&gt;"",VLOOKUP(A150,Tasks!B:G,2,FALSE),"")</f>
        <v/>
      </c>
      <c r="C150" s="20" t="str">
        <f>IF(A150&lt;&gt;"",VLOOKUP(A150,Tasks!B:G,4,FALSE),"")</f>
        <v/>
      </c>
      <c r="D150" s="20" t="str">
        <f>IF(A150&lt;&gt;"",VLOOKUP(A150,Tasks!B:G,5,FALSE),"")</f>
        <v/>
      </c>
      <c r="E150" s="21" t="str">
        <f>IF(A150&lt;&gt;"",VLOOKUP(A150,Tasks!B:G,6,FALSE),"")</f>
        <v/>
      </c>
    </row>
    <row r="151" spans="2:5" x14ac:dyDescent="0.4">
      <c r="B151" s="21" t="str">
        <f>IF(A151&lt;&gt;"",VLOOKUP(A151,Tasks!B:G,2,FALSE),"")</f>
        <v/>
      </c>
      <c r="C151" s="20" t="str">
        <f>IF(A151&lt;&gt;"",VLOOKUP(A151,Tasks!B:G,4,FALSE),"")</f>
        <v/>
      </c>
      <c r="D151" s="20" t="str">
        <f>IF(A151&lt;&gt;"",VLOOKUP(A151,Tasks!B:G,5,FALSE),"")</f>
        <v/>
      </c>
      <c r="E151" s="21" t="str">
        <f>IF(A151&lt;&gt;"",VLOOKUP(A151,Tasks!B:G,6,FALSE),"")</f>
        <v/>
      </c>
    </row>
    <row r="152" spans="2:5" x14ac:dyDescent="0.4">
      <c r="B152" s="21" t="str">
        <f>IF(A152&lt;&gt;"",VLOOKUP(A152,Tasks!B:G,2,FALSE),"")</f>
        <v/>
      </c>
      <c r="C152" s="20" t="str">
        <f>IF(A152&lt;&gt;"",VLOOKUP(A152,Tasks!B:G,4,FALSE),"")</f>
        <v/>
      </c>
      <c r="D152" s="20" t="str">
        <f>IF(A152&lt;&gt;"",VLOOKUP(A152,Tasks!B:G,5,FALSE),"")</f>
        <v/>
      </c>
      <c r="E152" s="21" t="str">
        <f>IF(A152&lt;&gt;"",VLOOKUP(A152,Tasks!B:G,6,FALSE),"")</f>
        <v/>
      </c>
    </row>
    <row r="153" spans="2:5" x14ac:dyDescent="0.4">
      <c r="B153" s="21" t="str">
        <f>IF(A153&lt;&gt;"",VLOOKUP(A153,Tasks!B:G,2,FALSE),"")</f>
        <v/>
      </c>
      <c r="C153" s="20" t="str">
        <f>IF(A153&lt;&gt;"",VLOOKUP(A153,Tasks!B:G,4,FALSE),"")</f>
        <v/>
      </c>
      <c r="D153" s="20" t="str">
        <f>IF(A153&lt;&gt;"",VLOOKUP(A153,Tasks!B:G,5,FALSE),"")</f>
        <v/>
      </c>
      <c r="E153" s="21" t="str">
        <f>IF(A153&lt;&gt;"",VLOOKUP(A153,Tasks!B:G,6,FALSE),"")</f>
        <v/>
      </c>
    </row>
    <row r="154" spans="2:5" x14ac:dyDescent="0.4">
      <c r="B154" s="21" t="str">
        <f>IF(A154&lt;&gt;"",VLOOKUP(A154,Tasks!B:G,2,FALSE),"")</f>
        <v/>
      </c>
      <c r="C154" s="20" t="str">
        <f>IF(A154&lt;&gt;"",VLOOKUP(A154,Tasks!B:G,4,FALSE),"")</f>
        <v/>
      </c>
      <c r="D154" s="20" t="str">
        <f>IF(A154&lt;&gt;"",VLOOKUP(A154,Tasks!B:G,5,FALSE),"")</f>
        <v/>
      </c>
      <c r="E154" s="21" t="str">
        <f>IF(A154&lt;&gt;"",VLOOKUP(A154,Tasks!B:G,6,FALSE),"")</f>
        <v/>
      </c>
    </row>
    <row r="155" spans="2:5" x14ac:dyDescent="0.4">
      <c r="B155" s="21" t="str">
        <f>IF(A155&lt;&gt;"",VLOOKUP(A155,Tasks!B:G,2,FALSE),"")</f>
        <v/>
      </c>
      <c r="C155" s="20" t="str">
        <f>IF(A155&lt;&gt;"",VLOOKUP(A155,Tasks!B:G,4,FALSE),"")</f>
        <v/>
      </c>
      <c r="D155" s="20" t="str">
        <f>IF(A155&lt;&gt;"",VLOOKUP(A155,Tasks!B:G,5,FALSE),"")</f>
        <v/>
      </c>
      <c r="E155" s="21" t="str">
        <f>IF(A155&lt;&gt;"",VLOOKUP(A155,Tasks!B:G,6,FALSE),"")</f>
        <v/>
      </c>
    </row>
    <row r="156" spans="2:5" x14ac:dyDescent="0.4">
      <c r="B156" s="21" t="str">
        <f>IF(A156&lt;&gt;"",VLOOKUP(A156,Tasks!B:G,2,FALSE),"")</f>
        <v/>
      </c>
      <c r="C156" s="20" t="str">
        <f>IF(A156&lt;&gt;"",VLOOKUP(A156,Tasks!B:G,4,FALSE),"")</f>
        <v/>
      </c>
      <c r="D156" s="20" t="str">
        <f>IF(A156&lt;&gt;"",VLOOKUP(A156,Tasks!B:G,5,FALSE),"")</f>
        <v/>
      </c>
      <c r="E156" s="21" t="str">
        <f>IF(A156&lt;&gt;"",VLOOKUP(A156,Tasks!B:G,6,FALSE),"")</f>
        <v/>
      </c>
    </row>
    <row r="157" spans="2:5" x14ac:dyDescent="0.4">
      <c r="B157" s="21" t="str">
        <f>IF(A157&lt;&gt;"",VLOOKUP(A157,Tasks!B:G,2,FALSE),"")</f>
        <v/>
      </c>
      <c r="C157" s="20" t="str">
        <f>IF(A157&lt;&gt;"",VLOOKUP(A157,Tasks!B:G,4,FALSE),"")</f>
        <v/>
      </c>
      <c r="D157" s="20" t="str">
        <f>IF(A157&lt;&gt;"",VLOOKUP(A157,Tasks!B:G,5,FALSE),"")</f>
        <v/>
      </c>
      <c r="E157" s="21" t="str">
        <f>IF(A157&lt;&gt;"",VLOOKUP(A157,Tasks!B:G,6,FALSE),"")</f>
        <v/>
      </c>
    </row>
    <row r="158" spans="2:5" x14ac:dyDescent="0.4">
      <c r="B158" s="21" t="str">
        <f>IF(A158&lt;&gt;"",VLOOKUP(A158,Tasks!B:G,2,FALSE),"")</f>
        <v/>
      </c>
      <c r="C158" s="20" t="str">
        <f>IF(A158&lt;&gt;"",VLOOKUP(A158,Tasks!B:G,4,FALSE),"")</f>
        <v/>
      </c>
      <c r="D158" s="20" t="str">
        <f>IF(A158&lt;&gt;"",VLOOKUP(A158,Tasks!B:G,5,FALSE),"")</f>
        <v/>
      </c>
      <c r="E158" s="21" t="str">
        <f>IF(A158&lt;&gt;"",VLOOKUP(A158,Tasks!B:G,6,FALSE),"")</f>
        <v/>
      </c>
    </row>
    <row r="159" spans="2:5" x14ac:dyDescent="0.4">
      <c r="B159" s="21" t="str">
        <f>IF(A159&lt;&gt;"",VLOOKUP(A159,Tasks!B:G,2,FALSE),"")</f>
        <v/>
      </c>
      <c r="C159" s="20" t="str">
        <f>IF(A159&lt;&gt;"",VLOOKUP(A159,Tasks!B:G,4,FALSE),"")</f>
        <v/>
      </c>
      <c r="D159" s="20" t="str">
        <f>IF(A159&lt;&gt;"",VLOOKUP(A159,Tasks!B:G,5,FALSE),"")</f>
        <v/>
      </c>
      <c r="E159" s="21" t="str">
        <f>IF(A159&lt;&gt;"",VLOOKUP(A159,Tasks!B:G,6,FALSE),"")</f>
        <v/>
      </c>
    </row>
    <row r="160" spans="2:5" x14ac:dyDescent="0.4">
      <c r="B160" s="21" t="str">
        <f>IF(A160&lt;&gt;"",VLOOKUP(A160,Tasks!B:G,2,FALSE),"")</f>
        <v/>
      </c>
      <c r="C160" s="20" t="str">
        <f>IF(A160&lt;&gt;"",VLOOKUP(A160,Tasks!B:G,4,FALSE),"")</f>
        <v/>
      </c>
      <c r="D160" s="20" t="str">
        <f>IF(A160&lt;&gt;"",VLOOKUP(A160,Tasks!B:G,5,FALSE),"")</f>
        <v/>
      </c>
      <c r="E160" s="21" t="str">
        <f>IF(A160&lt;&gt;"",VLOOKUP(A160,Tasks!B:G,6,FALSE),"")</f>
        <v/>
      </c>
    </row>
    <row r="161" spans="2:5" x14ac:dyDescent="0.4">
      <c r="B161" s="21" t="str">
        <f>IF(A161&lt;&gt;"",VLOOKUP(A161,Tasks!B:G,2,FALSE),"")</f>
        <v/>
      </c>
      <c r="C161" s="20" t="str">
        <f>IF(A161&lt;&gt;"",VLOOKUP(A161,Tasks!B:G,4,FALSE),"")</f>
        <v/>
      </c>
      <c r="D161" s="20" t="str">
        <f>IF(A161&lt;&gt;"",VLOOKUP(A161,Tasks!B:G,5,FALSE),"")</f>
        <v/>
      </c>
      <c r="E161" s="21" t="str">
        <f>IF(A161&lt;&gt;"",VLOOKUP(A161,Tasks!B:G,6,FALSE),"")</f>
        <v/>
      </c>
    </row>
    <row r="162" spans="2:5" x14ac:dyDescent="0.4">
      <c r="B162" s="21" t="str">
        <f>IF(A162&lt;&gt;"",VLOOKUP(A162,Tasks!B:G,2,FALSE),"")</f>
        <v/>
      </c>
      <c r="C162" s="20" t="str">
        <f>IF(A162&lt;&gt;"",VLOOKUP(A162,Tasks!B:G,4,FALSE),"")</f>
        <v/>
      </c>
      <c r="D162" s="20" t="str">
        <f>IF(A162&lt;&gt;"",VLOOKUP(A162,Tasks!B:G,5,FALSE),"")</f>
        <v/>
      </c>
      <c r="E162" s="21" t="str">
        <f>IF(A162&lt;&gt;"",VLOOKUP(A162,Tasks!B:G,6,FALSE),"")</f>
        <v/>
      </c>
    </row>
    <row r="163" spans="2:5" x14ac:dyDescent="0.4">
      <c r="B163" s="21" t="str">
        <f>IF(A163&lt;&gt;"",VLOOKUP(A163,Tasks!B:G,2,FALSE),"")</f>
        <v/>
      </c>
      <c r="C163" s="20" t="str">
        <f>IF(A163&lt;&gt;"",VLOOKUP(A163,Tasks!B:G,4,FALSE),"")</f>
        <v/>
      </c>
      <c r="D163" s="20" t="str">
        <f>IF(A163&lt;&gt;"",VLOOKUP(A163,Tasks!B:G,5,FALSE),"")</f>
        <v/>
      </c>
      <c r="E163" s="21" t="str">
        <f>IF(A163&lt;&gt;"",VLOOKUP(A163,Tasks!B:G,6,FALSE),"")</f>
        <v/>
      </c>
    </row>
    <row r="164" spans="2:5" x14ac:dyDescent="0.4">
      <c r="B164" s="21" t="str">
        <f>IF(A164&lt;&gt;"",VLOOKUP(A164,Tasks!B:G,2,FALSE),"")</f>
        <v/>
      </c>
      <c r="C164" s="20" t="str">
        <f>IF(A164&lt;&gt;"",VLOOKUP(A164,Tasks!B:G,4,FALSE),"")</f>
        <v/>
      </c>
      <c r="D164" s="20" t="str">
        <f>IF(A164&lt;&gt;"",VLOOKUP(A164,Tasks!B:G,5,FALSE),"")</f>
        <v/>
      </c>
      <c r="E164" s="21" t="str">
        <f>IF(A164&lt;&gt;"",VLOOKUP(A164,Tasks!B:G,6,FALSE),"")</f>
        <v/>
      </c>
    </row>
    <row r="165" spans="2:5" x14ac:dyDescent="0.4">
      <c r="B165" s="21" t="str">
        <f>IF(A165&lt;&gt;"",VLOOKUP(A165,Tasks!B:G,2,FALSE),"")</f>
        <v/>
      </c>
      <c r="C165" s="20" t="str">
        <f>IF(A165&lt;&gt;"",VLOOKUP(A165,Tasks!B:G,4,FALSE),"")</f>
        <v/>
      </c>
      <c r="D165" s="20" t="str">
        <f>IF(A165&lt;&gt;"",VLOOKUP(A165,Tasks!B:G,5,FALSE),"")</f>
        <v/>
      </c>
      <c r="E165" s="21" t="str">
        <f>IF(A165&lt;&gt;"",VLOOKUP(A165,Tasks!B:G,6,FALSE),"")</f>
        <v/>
      </c>
    </row>
    <row r="166" spans="2:5" x14ac:dyDescent="0.4">
      <c r="B166" s="21" t="str">
        <f>IF(A166&lt;&gt;"",VLOOKUP(A166,Tasks!B:G,2,FALSE),"")</f>
        <v/>
      </c>
      <c r="C166" s="20" t="str">
        <f>IF(A166&lt;&gt;"",VLOOKUP(A166,Tasks!B:G,4,FALSE),"")</f>
        <v/>
      </c>
      <c r="D166" s="20" t="str">
        <f>IF(A166&lt;&gt;"",VLOOKUP(A166,Tasks!B:G,5,FALSE),"")</f>
        <v/>
      </c>
      <c r="E166" s="21" t="str">
        <f>IF(A166&lt;&gt;"",VLOOKUP(A166,Tasks!B:G,6,FALSE),"")</f>
        <v/>
      </c>
    </row>
    <row r="167" spans="2:5" x14ac:dyDescent="0.4">
      <c r="B167" s="21" t="str">
        <f>IF(A167&lt;&gt;"",VLOOKUP(A167,Tasks!B:G,2,FALSE),"")</f>
        <v/>
      </c>
      <c r="C167" s="20" t="str">
        <f>IF(A167&lt;&gt;"",VLOOKUP(A167,Tasks!B:G,4,FALSE),"")</f>
        <v/>
      </c>
      <c r="D167" s="20" t="str">
        <f>IF(A167&lt;&gt;"",VLOOKUP(A167,Tasks!B:G,5,FALSE),"")</f>
        <v/>
      </c>
      <c r="E167" s="21" t="str">
        <f>IF(A167&lt;&gt;"",VLOOKUP(A167,Tasks!B:G,6,FALSE),"")</f>
        <v/>
      </c>
    </row>
    <row r="168" spans="2:5" x14ac:dyDescent="0.4">
      <c r="B168" s="21" t="str">
        <f>IF(A168&lt;&gt;"",VLOOKUP(A168,Tasks!B:G,2,FALSE),"")</f>
        <v/>
      </c>
      <c r="C168" s="20" t="str">
        <f>IF(A168&lt;&gt;"",VLOOKUP(A168,Tasks!B:G,4,FALSE),"")</f>
        <v/>
      </c>
      <c r="D168" s="20" t="str">
        <f>IF(A168&lt;&gt;"",VLOOKUP(A168,Tasks!B:G,5,FALSE),"")</f>
        <v/>
      </c>
      <c r="E168" s="21" t="str">
        <f>IF(A168&lt;&gt;"",VLOOKUP(A168,Tasks!B:G,6,FALSE),"")</f>
        <v/>
      </c>
    </row>
    <row r="169" spans="2:5" x14ac:dyDescent="0.4">
      <c r="B169" s="21" t="str">
        <f>IF(A169&lt;&gt;"",VLOOKUP(A169,Tasks!B:G,2,FALSE),"")</f>
        <v/>
      </c>
      <c r="C169" s="20" t="str">
        <f>IF(A169&lt;&gt;"",VLOOKUP(A169,Tasks!B:G,4,FALSE),"")</f>
        <v/>
      </c>
      <c r="D169" s="20" t="str">
        <f>IF(A169&lt;&gt;"",VLOOKUP(A169,Tasks!B:G,5,FALSE),"")</f>
        <v/>
      </c>
      <c r="E169" s="21" t="str">
        <f>IF(A169&lt;&gt;"",VLOOKUP(A169,Tasks!B:G,6,FALSE),"")</f>
        <v/>
      </c>
    </row>
    <row r="170" spans="2:5" x14ac:dyDescent="0.4">
      <c r="B170" s="21" t="str">
        <f>IF(A170&lt;&gt;"",VLOOKUP(A170,Tasks!B:G,2,FALSE),"")</f>
        <v/>
      </c>
      <c r="C170" s="20" t="str">
        <f>IF(A170&lt;&gt;"",VLOOKUP(A170,Tasks!B:G,4,FALSE),"")</f>
        <v/>
      </c>
      <c r="D170" s="20" t="str">
        <f>IF(A170&lt;&gt;"",VLOOKUP(A170,Tasks!B:G,5,FALSE),"")</f>
        <v/>
      </c>
      <c r="E170" s="21" t="str">
        <f>IF(A170&lt;&gt;"",VLOOKUP(A170,Tasks!B:G,6,FALSE),"")</f>
        <v/>
      </c>
    </row>
    <row r="171" spans="2:5" x14ac:dyDescent="0.4">
      <c r="B171" s="21" t="str">
        <f>IF(A171&lt;&gt;"",VLOOKUP(A171,Tasks!B:G,2,FALSE),"")</f>
        <v/>
      </c>
      <c r="C171" s="20" t="str">
        <f>IF(A171&lt;&gt;"",VLOOKUP(A171,Tasks!B:G,4,FALSE),"")</f>
        <v/>
      </c>
      <c r="D171" s="20" t="str">
        <f>IF(A171&lt;&gt;"",VLOOKUP(A171,Tasks!B:G,5,FALSE),"")</f>
        <v/>
      </c>
      <c r="E171" s="21" t="str">
        <f>IF(A171&lt;&gt;"",VLOOKUP(A171,Tasks!B:G,6,FALSE),"")</f>
        <v/>
      </c>
    </row>
    <row r="172" spans="2:5" x14ac:dyDescent="0.4">
      <c r="B172" s="21" t="str">
        <f>IF(A172&lt;&gt;"",VLOOKUP(A172,Tasks!B:G,2,FALSE),"")</f>
        <v/>
      </c>
      <c r="C172" s="20" t="str">
        <f>IF(A172&lt;&gt;"",VLOOKUP(A172,Tasks!B:G,4,FALSE),"")</f>
        <v/>
      </c>
      <c r="D172" s="20" t="str">
        <f>IF(A172&lt;&gt;"",VLOOKUP(A172,Tasks!B:G,5,FALSE),"")</f>
        <v/>
      </c>
      <c r="E172" s="21" t="str">
        <f>IF(A172&lt;&gt;"",VLOOKUP(A172,Tasks!B:G,6,FALSE),"")</f>
        <v/>
      </c>
    </row>
    <row r="173" spans="2:5" x14ac:dyDescent="0.4">
      <c r="B173" s="21" t="str">
        <f>IF(A173&lt;&gt;"",VLOOKUP(A173,Tasks!B:G,2,FALSE),"")</f>
        <v/>
      </c>
      <c r="C173" s="20" t="str">
        <f>IF(A173&lt;&gt;"",VLOOKUP(A173,Tasks!B:G,4,FALSE),"")</f>
        <v/>
      </c>
      <c r="D173" s="20" t="str">
        <f>IF(A173&lt;&gt;"",VLOOKUP(A173,Tasks!B:G,5,FALSE),"")</f>
        <v/>
      </c>
      <c r="E173" s="21" t="str">
        <f>IF(A173&lt;&gt;"",VLOOKUP(A173,Tasks!B:G,6,FALSE),"")</f>
        <v/>
      </c>
    </row>
    <row r="174" spans="2:5" x14ac:dyDescent="0.4">
      <c r="B174" s="21" t="str">
        <f>IF(A174&lt;&gt;"",VLOOKUP(A174,Tasks!B:G,2,FALSE),"")</f>
        <v/>
      </c>
      <c r="C174" s="20" t="str">
        <f>IF(A174&lt;&gt;"",VLOOKUP(A174,Tasks!B:G,4,FALSE),"")</f>
        <v/>
      </c>
      <c r="D174" s="20" t="str">
        <f>IF(A174&lt;&gt;"",VLOOKUP(A174,Tasks!B:G,5,FALSE),"")</f>
        <v/>
      </c>
      <c r="E174" s="21" t="str">
        <f>IF(A174&lt;&gt;"",VLOOKUP(A174,Tasks!B:G,6,FALSE),"")</f>
        <v/>
      </c>
    </row>
    <row r="175" spans="2:5" x14ac:dyDescent="0.4">
      <c r="B175" s="21" t="str">
        <f>IF(A175&lt;&gt;"",VLOOKUP(A175,Tasks!B:G,2,FALSE),"")</f>
        <v/>
      </c>
      <c r="C175" s="20" t="str">
        <f>IF(A175&lt;&gt;"",VLOOKUP(A175,Tasks!B:G,4,FALSE),"")</f>
        <v/>
      </c>
      <c r="D175" s="20" t="str">
        <f>IF(A175&lt;&gt;"",VLOOKUP(A175,Tasks!B:G,5,FALSE),"")</f>
        <v/>
      </c>
      <c r="E175" s="21" t="str">
        <f>IF(A175&lt;&gt;"",VLOOKUP(A175,Tasks!B:G,6,FALSE),"")</f>
        <v/>
      </c>
    </row>
    <row r="176" spans="2:5" x14ac:dyDescent="0.4">
      <c r="B176" s="21" t="str">
        <f>IF(A176&lt;&gt;"",VLOOKUP(A176,Tasks!B:G,2,FALSE),"")</f>
        <v/>
      </c>
      <c r="C176" s="20" t="str">
        <f>IF(A176&lt;&gt;"",VLOOKUP(A176,Tasks!B:G,4,FALSE),"")</f>
        <v/>
      </c>
      <c r="D176" s="20" t="str">
        <f>IF(A176&lt;&gt;"",VLOOKUP(A176,Tasks!B:G,5,FALSE),"")</f>
        <v/>
      </c>
      <c r="E176" s="21" t="str">
        <f>IF(A176&lt;&gt;"",VLOOKUP(A176,Tasks!B:G,6,FALSE),"")</f>
        <v/>
      </c>
    </row>
    <row r="177" spans="2:5" x14ac:dyDescent="0.4">
      <c r="B177" s="21" t="str">
        <f>IF(A177&lt;&gt;"",VLOOKUP(A177,Tasks!B:G,2,FALSE),"")</f>
        <v/>
      </c>
      <c r="C177" s="20" t="str">
        <f>IF(A177&lt;&gt;"",VLOOKUP(A177,Tasks!B:G,4,FALSE),"")</f>
        <v/>
      </c>
      <c r="D177" s="20" t="str">
        <f>IF(A177&lt;&gt;"",VLOOKUP(A177,Tasks!B:G,5,FALSE),"")</f>
        <v/>
      </c>
      <c r="E177" s="21" t="str">
        <f>IF(A177&lt;&gt;"",VLOOKUP(A177,Tasks!B:G,6,FALSE),"")</f>
        <v/>
      </c>
    </row>
    <row r="178" spans="2:5" x14ac:dyDescent="0.4">
      <c r="B178" s="21" t="str">
        <f>IF(A178&lt;&gt;"",VLOOKUP(A178,Tasks!B:G,2,FALSE),"")</f>
        <v/>
      </c>
      <c r="C178" s="20" t="str">
        <f>IF(A178&lt;&gt;"",VLOOKUP(A178,Tasks!B:G,4,FALSE),"")</f>
        <v/>
      </c>
      <c r="D178" s="20" t="str">
        <f>IF(A178&lt;&gt;"",VLOOKUP(A178,Tasks!B:G,5,FALSE),"")</f>
        <v/>
      </c>
      <c r="E178" s="21" t="str">
        <f>IF(A178&lt;&gt;"",VLOOKUP(A178,Tasks!B:G,6,FALSE),"")</f>
        <v/>
      </c>
    </row>
    <row r="179" spans="2:5" x14ac:dyDescent="0.4">
      <c r="B179" s="21" t="str">
        <f>IF(A179&lt;&gt;"",VLOOKUP(A179,Tasks!B:G,2,FALSE),"")</f>
        <v/>
      </c>
      <c r="C179" s="20" t="str">
        <f>IF(A179&lt;&gt;"",VLOOKUP(A179,Tasks!B:G,4,FALSE),"")</f>
        <v/>
      </c>
      <c r="D179" s="20" t="str">
        <f>IF(A179&lt;&gt;"",VLOOKUP(A179,Tasks!B:G,5,FALSE),"")</f>
        <v/>
      </c>
      <c r="E179" s="21" t="str">
        <f>IF(A179&lt;&gt;"",VLOOKUP(A179,Tasks!B:G,6,FALSE),"")</f>
        <v/>
      </c>
    </row>
    <row r="180" spans="2:5" x14ac:dyDescent="0.4">
      <c r="B180" s="21" t="str">
        <f>IF(A180&lt;&gt;"",VLOOKUP(A180,Tasks!B:G,2,FALSE),"")</f>
        <v/>
      </c>
      <c r="C180" s="20" t="str">
        <f>IF(A180&lt;&gt;"",VLOOKUP(A180,Tasks!B:G,4,FALSE),"")</f>
        <v/>
      </c>
      <c r="D180" s="20" t="str">
        <f>IF(A180&lt;&gt;"",VLOOKUP(A180,Tasks!B:G,5,FALSE),"")</f>
        <v/>
      </c>
      <c r="E180" s="21" t="str">
        <f>IF(A180&lt;&gt;"",VLOOKUP(A180,Tasks!B:G,6,FALSE),"")</f>
        <v/>
      </c>
    </row>
    <row r="181" spans="2:5" x14ac:dyDescent="0.4">
      <c r="B181" s="21" t="str">
        <f>IF(A181&lt;&gt;"",VLOOKUP(A181,Tasks!B:G,2,FALSE),"")</f>
        <v/>
      </c>
      <c r="C181" s="20" t="str">
        <f>IF(A181&lt;&gt;"",VLOOKUP(A181,Tasks!B:G,4,FALSE),"")</f>
        <v/>
      </c>
      <c r="D181" s="20" t="str">
        <f>IF(A181&lt;&gt;"",VLOOKUP(A181,Tasks!B:G,5,FALSE),"")</f>
        <v/>
      </c>
      <c r="E181" s="21" t="str">
        <f>IF(A181&lt;&gt;"",VLOOKUP(A181,Tasks!B:G,6,FALSE),"")</f>
        <v/>
      </c>
    </row>
    <row r="182" spans="2:5" x14ac:dyDescent="0.4">
      <c r="B182" s="21" t="str">
        <f>IF(A182&lt;&gt;"",VLOOKUP(A182,Tasks!B:G,2,FALSE),"")</f>
        <v/>
      </c>
      <c r="C182" s="20" t="str">
        <f>IF(A182&lt;&gt;"",VLOOKUP(A182,Tasks!B:G,4,FALSE),"")</f>
        <v/>
      </c>
      <c r="D182" s="20" t="str">
        <f>IF(A182&lt;&gt;"",VLOOKUP(A182,Tasks!B:G,5,FALSE),"")</f>
        <v/>
      </c>
      <c r="E182" s="21" t="str">
        <f>IF(A182&lt;&gt;"",VLOOKUP(A182,Tasks!B:G,6,FALSE),"")</f>
        <v/>
      </c>
    </row>
    <row r="183" spans="2:5" x14ac:dyDescent="0.4">
      <c r="B183" s="21" t="str">
        <f>IF(A183&lt;&gt;"",VLOOKUP(A183,Tasks!B:G,2,FALSE),"")</f>
        <v/>
      </c>
      <c r="C183" s="20" t="str">
        <f>IF(A183&lt;&gt;"",VLOOKUP(A183,Tasks!B:G,4,FALSE),"")</f>
        <v/>
      </c>
      <c r="D183" s="20" t="str">
        <f>IF(A183&lt;&gt;"",VLOOKUP(A183,Tasks!B:G,5,FALSE),"")</f>
        <v/>
      </c>
      <c r="E183" s="21" t="str">
        <f>IF(A183&lt;&gt;"",VLOOKUP(A183,Tasks!B:G,6,FALSE),"")</f>
        <v/>
      </c>
    </row>
    <row r="184" spans="2:5" x14ac:dyDescent="0.4">
      <c r="B184" s="21" t="str">
        <f>IF(A184&lt;&gt;"",VLOOKUP(A184,Tasks!B:G,2,FALSE),"")</f>
        <v/>
      </c>
      <c r="C184" s="20" t="str">
        <f>IF(A184&lt;&gt;"",VLOOKUP(A184,Tasks!B:G,4,FALSE),"")</f>
        <v/>
      </c>
      <c r="D184" s="20" t="str">
        <f>IF(A184&lt;&gt;"",VLOOKUP(A184,Tasks!B:G,5,FALSE),"")</f>
        <v/>
      </c>
      <c r="E184" s="21" t="str">
        <f>IF(A184&lt;&gt;"",VLOOKUP(A184,Tasks!B:G,6,FALSE),"")</f>
        <v/>
      </c>
    </row>
    <row r="185" spans="2:5" x14ac:dyDescent="0.4">
      <c r="B185" s="21" t="str">
        <f>IF(A185&lt;&gt;"",VLOOKUP(A185,Tasks!B:G,2,FALSE),"")</f>
        <v/>
      </c>
      <c r="C185" s="20" t="str">
        <f>IF(A185&lt;&gt;"",VLOOKUP(A185,Tasks!B:G,4,FALSE),"")</f>
        <v/>
      </c>
      <c r="D185" s="20" t="str">
        <f>IF(A185&lt;&gt;"",VLOOKUP(A185,Tasks!B:G,5,FALSE),"")</f>
        <v/>
      </c>
      <c r="E185" s="21" t="str">
        <f>IF(A185&lt;&gt;"",VLOOKUP(A185,Tasks!B:G,6,FALSE),"")</f>
        <v/>
      </c>
    </row>
    <row r="186" spans="2:5" x14ac:dyDescent="0.4">
      <c r="B186" s="21" t="str">
        <f>IF(A186&lt;&gt;"",VLOOKUP(A186,Tasks!B:G,2,FALSE),"")</f>
        <v/>
      </c>
      <c r="C186" s="20" t="str">
        <f>IF(A186&lt;&gt;"",VLOOKUP(A186,Tasks!B:G,4,FALSE),"")</f>
        <v/>
      </c>
      <c r="D186" s="20" t="str">
        <f>IF(A186&lt;&gt;"",VLOOKUP(A186,Tasks!B:G,5,FALSE),"")</f>
        <v/>
      </c>
      <c r="E186" s="21" t="str">
        <f>IF(A186&lt;&gt;"",VLOOKUP(A186,Tasks!B:G,6,FALSE),"")</f>
        <v/>
      </c>
    </row>
    <row r="187" spans="2:5" x14ac:dyDescent="0.4">
      <c r="B187" s="21" t="str">
        <f>IF(A187&lt;&gt;"",VLOOKUP(A187,Tasks!B:G,2,FALSE),"")</f>
        <v/>
      </c>
      <c r="C187" s="20" t="str">
        <f>IF(A187&lt;&gt;"",VLOOKUP(A187,Tasks!B:G,4,FALSE),"")</f>
        <v/>
      </c>
      <c r="D187" s="20" t="str">
        <f>IF(A187&lt;&gt;"",VLOOKUP(A187,Tasks!B:G,5,FALSE),"")</f>
        <v/>
      </c>
      <c r="E187" s="21" t="str">
        <f>IF(A187&lt;&gt;"",VLOOKUP(A187,Tasks!B:G,6,FALSE),"")</f>
        <v/>
      </c>
    </row>
    <row r="188" spans="2:5" x14ac:dyDescent="0.4">
      <c r="B188" s="21" t="str">
        <f>IF(A188&lt;&gt;"",VLOOKUP(A188,Tasks!B:G,2,FALSE),"")</f>
        <v/>
      </c>
      <c r="C188" s="20" t="str">
        <f>IF(A188&lt;&gt;"",VLOOKUP(A188,Tasks!B:G,4,FALSE),"")</f>
        <v/>
      </c>
      <c r="D188" s="20" t="str">
        <f>IF(A188&lt;&gt;"",VLOOKUP(A188,Tasks!B:G,5,FALSE),"")</f>
        <v/>
      </c>
      <c r="E188" s="21" t="str">
        <f>IF(A188&lt;&gt;"",VLOOKUP(A188,Tasks!B:G,6,FALSE),"")</f>
        <v/>
      </c>
    </row>
    <row r="189" spans="2:5" x14ac:dyDescent="0.4">
      <c r="B189" s="21" t="str">
        <f>IF(A189&lt;&gt;"",VLOOKUP(A189,Tasks!B:G,2,FALSE),"")</f>
        <v/>
      </c>
      <c r="C189" s="20" t="str">
        <f>IF(A189&lt;&gt;"",VLOOKUP(A189,Tasks!B:G,4,FALSE),"")</f>
        <v/>
      </c>
      <c r="D189" s="20" t="str">
        <f>IF(A189&lt;&gt;"",VLOOKUP(A189,Tasks!B:G,5,FALSE),"")</f>
        <v/>
      </c>
      <c r="E189" s="21" t="str">
        <f>IF(A189&lt;&gt;"",VLOOKUP(A189,Tasks!B:G,6,FALSE),"")</f>
        <v/>
      </c>
    </row>
    <row r="190" spans="2:5" x14ac:dyDescent="0.4">
      <c r="B190" s="21" t="str">
        <f>IF(A190&lt;&gt;"",VLOOKUP(A190,Tasks!B:G,2,FALSE),"")</f>
        <v/>
      </c>
      <c r="C190" s="20" t="str">
        <f>IF(A190&lt;&gt;"",VLOOKUP(A190,Tasks!B:G,4,FALSE),"")</f>
        <v/>
      </c>
      <c r="D190" s="20" t="str">
        <f>IF(A190&lt;&gt;"",VLOOKUP(A190,Tasks!B:G,5,FALSE),"")</f>
        <v/>
      </c>
      <c r="E190" s="21" t="str">
        <f>IF(A190&lt;&gt;"",VLOOKUP(A190,Tasks!B:G,6,FALSE),"")</f>
        <v/>
      </c>
    </row>
    <row r="191" spans="2:5" x14ac:dyDescent="0.4">
      <c r="B191" s="21" t="str">
        <f>IF(A191&lt;&gt;"",VLOOKUP(A191,Tasks!B:G,2,FALSE),"")</f>
        <v/>
      </c>
      <c r="C191" s="20" t="str">
        <f>IF(A191&lt;&gt;"",VLOOKUP(A191,Tasks!B:G,4,FALSE),"")</f>
        <v/>
      </c>
      <c r="D191" s="20" t="str">
        <f>IF(A191&lt;&gt;"",VLOOKUP(A191,Tasks!B:G,5,FALSE),"")</f>
        <v/>
      </c>
      <c r="E191" s="21" t="str">
        <f>IF(A191&lt;&gt;"",VLOOKUP(A191,Tasks!B:G,6,FALSE),"")</f>
        <v/>
      </c>
    </row>
    <row r="192" spans="2:5" x14ac:dyDescent="0.4">
      <c r="B192" s="21" t="str">
        <f>IF(A192&lt;&gt;"",VLOOKUP(A192,Tasks!B:G,2,FALSE),"")</f>
        <v/>
      </c>
      <c r="C192" s="20" t="str">
        <f>IF(A192&lt;&gt;"",VLOOKUP(A192,Tasks!B:G,4,FALSE),"")</f>
        <v/>
      </c>
      <c r="D192" s="20" t="str">
        <f>IF(A192&lt;&gt;"",VLOOKUP(A192,Tasks!B:G,5,FALSE),"")</f>
        <v/>
      </c>
      <c r="E192" s="21" t="str">
        <f>IF(A192&lt;&gt;"",VLOOKUP(A192,Tasks!B:G,6,FALSE),"")</f>
        <v/>
      </c>
    </row>
    <row r="193" spans="2:5" x14ac:dyDescent="0.4">
      <c r="B193" s="21" t="str">
        <f>IF(A193&lt;&gt;"",VLOOKUP(A193,Tasks!B:G,2,FALSE),"")</f>
        <v/>
      </c>
      <c r="C193" s="20" t="str">
        <f>IF(A193&lt;&gt;"",VLOOKUP(A193,Tasks!B:G,4,FALSE),"")</f>
        <v/>
      </c>
      <c r="D193" s="20" t="str">
        <f>IF(A193&lt;&gt;"",VLOOKUP(A193,Tasks!B:G,5,FALSE),"")</f>
        <v/>
      </c>
      <c r="E193" s="21" t="str">
        <f>IF(A193&lt;&gt;"",VLOOKUP(A193,Tasks!B:G,6,FALSE),"")</f>
        <v/>
      </c>
    </row>
    <row r="194" spans="2:5" x14ac:dyDescent="0.4">
      <c r="B194" s="21" t="str">
        <f>IF(A194&lt;&gt;"",VLOOKUP(A194,Tasks!B:G,2,FALSE),"")</f>
        <v/>
      </c>
      <c r="C194" s="20" t="str">
        <f>IF(A194&lt;&gt;"",VLOOKUP(A194,Tasks!B:G,4,FALSE),"")</f>
        <v/>
      </c>
      <c r="D194" s="20" t="str">
        <f>IF(A194&lt;&gt;"",VLOOKUP(A194,Tasks!B:G,5,FALSE),"")</f>
        <v/>
      </c>
      <c r="E194" s="21" t="str">
        <f>IF(A194&lt;&gt;"",VLOOKUP(A194,Tasks!B:G,6,FALSE),"")</f>
        <v/>
      </c>
    </row>
    <row r="195" spans="2:5" x14ac:dyDescent="0.4">
      <c r="B195" s="21" t="str">
        <f>IF(A195&lt;&gt;"",VLOOKUP(A195,Tasks!B:G,2,FALSE),"")</f>
        <v/>
      </c>
      <c r="C195" s="20" t="str">
        <f>IF(A195&lt;&gt;"",VLOOKUP(A195,Tasks!B:G,4,FALSE),"")</f>
        <v/>
      </c>
      <c r="D195" s="20" t="str">
        <f>IF(A195&lt;&gt;"",VLOOKUP(A195,Tasks!B:G,5,FALSE),"")</f>
        <v/>
      </c>
      <c r="E195" s="21" t="str">
        <f>IF(A195&lt;&gt;"",VLOOKUP(A195,Tasks!B:G,6,FALSE),"")</f>
        <v/>
      </c>
    </row>
    <row r="196" spans="2:5" x14ac:dyDescent="0.4">
      <c r="B196" s="21" t="str">
        <f>IF(A196&lt;&gt;"",VLOOKUP(A196,Tasks!B:G,2,FALSE),"")</f>
        <v/>
      </c>
      <c r="C196" s="20" t="str">
        <f>IF(A196&lt;&gt;"",VLOOKUP(A196,Tasks!B:G,4,FALSE),"")</f>
        <v/>
      </c>
      <c r="D196" s="20" t="str">
        <f>IF(A196&lt;&gt;"",VLOOKUP(A196,Tasks!B:G,5,FALSE),"")</f>
        <v/>
      </c>
      <c r="E196" s="21" t="str">
        <f>IF(A196&lt;&gt;"",VLOOKUP(A196,Tasks!B:G,6,FALSE),"")</f>
        <v/>
      </c>
    </row>
    <row r="197" spans="2:5" x14ac:dyDescent="0.4">
      <c r="B197" s="21" t="str">
        <f>IF(A197&lt;&gt;"",VLOOKUP(A197,Tasks!B:G,2,FALSE),"")</f>
        <v/>
      </c>
      <c r="C197" s="20" t="str">
        <f>IF(A197&lt;&gt;"",VLOOKUP(A197,Tasks!B:G,4,FALSE),"")</f>
        <v/>
      </c>
      <c r="D197" s="20" t="str">
        <f>IF(A197&lt;&gt;"",VLOOKUP(A197,Tasks!B:G,5,FALSE),"")</f>
        <v/>
      </c>
      <c r="E197" s="21" t="str">
        <f>IF(A197&lt;&gt;"",VLOOKUP(A197,Tasks!B:G,6,FALSE),"")</f>
        <v/>
      </c>
    </row>
    <row r="198" spans="2:5" x14ac:dyDescent="0.4">
      <c r="B198" s="21" t="str">
        <f>IF(A198&lt;&gt;"",VLOOKUP(A198,Tasks!B:G,2,FALSE),"")</f>
        <v/>
      </c>
      <c r="C198" s="20" t="str">
        <f>IF(A198&lt;&gt;"",VLOOKUP(A198,Tasks!B:G,4,FALSE),"")</f>
        <v/>
      </c>
      <c r="D198" s="20" t="str">
        <f>IF(A198&lt;&gt;"",VLOOKUP(A198,Tasks!B:G,5,FALSE),"")</f>
        <v/>
      </c>
      <c r="E198" s="21" t="str">
        <f>IF(A198&lt;&gt;"",VLOOKUP(A198,Tasks!B:G,6,FALSE),"")</f>
        <v/>
      </c>
    </row>
    <row r="199" spans="2:5" x14ac:dyDescent="0.4">
      <c r="B199" s="21" t="str">
        <f>IF(A199&lt;&gt;"",VLOOKUP(A199,Tasks!B:G,2,FALSE),"")</f>
        <v/>
      </c>
      <c r="C199" s="20" t="str">
        <f>IF(A199&lt;&gt;"",VLOOKUP(A199,Tasks!B:G,4,FALSE),"")</f>
        <v/>
      </c>
      <c r="D199" s="20" t="str">
        <f>IF(A199&lt;&gt;"",VLOOKUP(A199,Tasks!B:G,5,FALSE),"")</f>
        <v/>
      </c>
      <c r="E199" s="21" t="str">
        <f>IF(A199&lt;&gt;"",VLOOKUP(A199,Tasks!B:G,6,FALSE),"")</f>
        <v/>
      </c>
    </row>
    <row r="200" spans="2:5" x14ac:dyDescent="0.4">
      <c r="B200" s="21" t="str">
        <f>IF(A200&lt;&gt;"",VLOOKUP(A200,Tasks!B:G,2,FALSE),"")</f>
        <v/>
      </c>
      <c r="C200" s="20" t="str">
        <f>IF(A200&lt;&gt;"",VLOOKUP(A200,Tasks!B:G,4,FALSE),"")</f>
        <v/>
      </c>
      <c r="D200" s="20" t="str">
        <f>IF(A200&lt;&gt;"",VLOOKUP(A200,Tasks!B:G,5,FALSE),"")</f>
        <v/>
      </c>
      <c r="E200" s="21" t="str">
        <f>IF(A200&lt;&gt;"",VLOOKUP(A200,Tasks!B:G,6,FALSE),"")</f>
        <v/>
      </c>
    </row>
    <row r="201" spans="2:5" x14ac:dyDescent="0.4">
      <c r="B201" s="21" t="str">
        <f>IF(A201&lt;&gt;"",VLOOKUP(A201,Tasks!B:G,2,FALSE),"")</f>
        <v/>
      </c>
      <c r="C201" s="20" t="str">
        <f>IF(A201&lt;&gt;"",VLOOKUP(A201,Tasks!B:G,4,FALSE),"")</f>
        <v/>
      </c>
      <c r="D201" s="20" t="str">
        <f>IF(A201&lt;&gt;"",VLOOKUP(A201,Tasks!B:G,5,FALSE),"")</f>
        <v/>
      </c>
      <c r="E201" s="21" t="str">
        <f>IF(A201&lt;&gt;"",VLOOKUP(A201,Tasks!B:G,6,FALSE),"")</f>
        <v/>
      </c>
    </row>
    <row r="202" spans="2:5" x14ac:dyDescent="0.4">
      <c r="B202" s="21" t="str">
        <f>IF(A202&lt;&gt;"",VLOOKUP(A202,Tasks!B:G,2,FALSE),"")</f>
        <v/>
      </c>
      <c r="C202" s="20" t="str">
        <f>IF(A202&lt;&gt;"",VLOOKUP(A202,Tasks!B:G,4,FALSE),"")</f>
        <v/>
      </c>
      <c r="D202" s="20" t="str">
        <f>IF(A202&lt;&gt;"",VLOOKUP(A202,Tasks!B:G,5,FALSE),"")</f>
        <v/>
      </c>
      <c r="E202" s="21" t="str">
        <f>IF(A202&lt;&gt;"",VLOOKUP(A202,Tasks!B:G,6,FALSE),"")</f>
        <v/>
      </c>
    </row>
    <row r="203" spans="2:5" x14ac:dyDescent="0.4">
      <c r="B203" s="21" t="str">
        <f>IF(A203&lt;&gt;"",VLOOKUP(A203,Tasks!B:G,2,FALSE),"")</f>
        <v/>
      </c>
      <c r="C203" s="20" t="str">
        <f>IF(A203&lt;&gt;"",VLOOKUP(A203,Tasks!B:G,4,FALSE),"")</f>
        <v/>
      </c>
      <c r="D203" s="20" t="str">
        <f>IF(A203&lt;&gt;"",VLOOKUP(A203,Tasks!B:G,5,FALSE),"")</f>
        <v/>
      </c>
      <c r="E203" s="21" t="str">
        <f>IF(A203&lt;&gt;"",VLOOKUP(A203,Tasks!B:G,6,FALSE),"")</f>
        <v/>
      </c>
    </row>
    <row r="204" spans="2:5" x14ac:dyDescent="0.4">
      <c r="B204" s="21" t="str">
        <f>IF(A204&lt;&gt;"",VLOOKUP(A204,Tasks!B:G,2,FALSE),"")</f>
        <v/>
      </c>
      <c r="C204" s="20" t="str">
        <f>IF(A204&lt;&gt;"",VLOOKUP(A204,Tasks!B:G,4,FALSE),"")</f>
        <v/>
      </c>
      <c r="D204" s="20" t="str">
        <f>IF(A204&lt;&gt;"",VLOOKUP(A204,Tasks!B:G,5,FALSE),"")</f>
        <v/>
      </c>
      <c r="E204" s="21" t="str">
        <f>IF(A204&lt;&gt;"",VLOOKUP(A204,Tasks!B:G,6,FALSE),"")</f>
        <v/>
      </c>
    </row>
    <row r="205" spans="2:5" x14ac:dyDescent="0.4">
      <c r="B205" s="21" t="str">
        <f>IF(A205&lt;&gt;"",VLOOKUP(A205,Tasks!B:G,2,FALSE),"")</f>
        <v/>
      </c>
      <c r="C205" s="20" t="str">
        <f>IF(A205&lt;&gt;"",VLOOKUP(A205,Tasks!B:G,4,FALSE),"")</f>
        <v/>
      </c>
      <c r="D205" s="20" t="str">
        <f>IF(A205&lt;&gt;"",VLOOKUP(A205,Tasks!B:G,5,FALSE),"")</f>
        <v/>
      </c>
      <c r="E205" s="21" t="str">
        <f>IF(A205&lt;&gt;"",VLOOKUP(A205,Tasks!B:G,6,FALSE),"")</f>
        <v/>
      </c>
    </row>
    <row r="206" spans="2:5" x14ac:dyDescent="0.4">
      <c r="B206" s="21" t="str">
        <f>IF(A206&lt;&gt;"",VLOOKUP(A206,Tasks!B:G,2,FALSE),"")</f>
        <v/>
      </c>
      <c r="C206" s="20" t="str">
        <f>IF(A206&lt;&gt;"",VLOOKUP(A206,Tasks!B:G,4,FALSE),"")</f>
        <v/>
      </c>
      <c r="D206" s="20" t="str">
        <f>IF(A206&lt;&gt;"",VLOOKUP(A206,Tasks!B:G,5,FALSE),"")</f>
        <v/>
      </c>
      <c r="E206" s="21" t="str">
        <f>IF(A206&lt;&gt;"",VLOOKUP(A206,Tasks!B:G,6,FALSE),"")</f>
        <v/>
      </c>
    </row>
    <row r="207" spans="2:5" x14ac:dyDescent="0.4">
      <c r="B207" s="21" t="str">
        <f>IF(A207&lt;&gt;"",VLOOKUP(A207,Tasks!B:G,2,FALSE),"")</f>
        <v/>
      </c>
      <c r="C207" s="20" t="str">
        <f>IF(A207&lt;&gt;"",VLOOKUP(A207,Tasks!B:G,4,FALSE),"")</f>
        <v/>
      </c>
      <c r="D207" s="20" t="str">
        <f>IF(A207&lt;&gt;"",VLOOKUP(A207,Tasks!B:G,5,FALSE),"")</f>
        <v/>
      </c>
      <c r="E207" s="21" t="str">
        <f>IF(A207&lt;&gt;"",VLOOKUP(A207,Tasks!B:G,6,FALSE),"")</f>
        <v/>
      </c>
    </row>
    <row r="208" spans="2:5" x14ac:dyDescent="0.4">
      <c r="B208" s="21" t="str">
        <f>IF(A208&lt;&gt;"",VLOOKUP(A208,Tasks!B:G,2,FALSE),"")</f>
        <v/>
      </c>
      <c r="C208" s="20" t="str">
        <f>IF(A208&lt;&gt;"",VLOOKUP(A208,Tasks!B:G,4,FALSE),"")</f>
        <v/>
      </c>
      <c r="D208" s="20" t="str">
        <f>IF(A208&lt;&gt;"",VLOOKUP(A208,Tasks!B:G,5,FALSE),"")</f>
        <v/>
      </c>
      <c r="E208" s="21" t="str">
        <f>IF(A208&lt;&gt;"",VLOOKUP(A208,Tasks!B:G,6,FALSE),"")</f>
        <v/>
      </c>
    </row>
    <row r="209" spans="2:5" x14ac:dyDescent="0.4">
      <c r="B209" s="21" t="str">
        <f>IF(A209&lt;&gt;"",VLOOKUP(A209,Tasks!B:G,2,FALSE),"")</f>
        <v/>
      </c>
      <c r="C209" s="20" t="str">
        <f>IF(A209&lt;&gt;"",VLOOKUP(A209,Tasks!B:G,4,FALSE),"")</f>
        <v/>
      </c>
      <c r="D209" s="20" t="str">
        <f>IF(A209&lt;&gt;"",VLOOKUP(A209,Tasks!B:G,5,FALSE),"")</f>
        <v/>
      </c>
      <c r="E209" s="21" t="str">
        <f>IF(A209&lt;&gt;"",VLOOKUP(A209,Tasks!B:G,6,FALSE),"")</f>
        <v/>
      </c>
    </row>
    <row r="210" spans="2:5" x14ac:dyDescent="0.4">
      <c r="B210" s="21" t="str">
        <f>IF(A210&lt;&gt;"",VLOOKUP(A210,Tasks!B:G,2,FALSE),"")</f>
        <v/>
      </c>
      <c r="C210" s="20" t="str">
        <f>IF(A210&lt;&gt;"",VLOOKUP(A210,Tasks!B:G,4,FALSE),"")</f>
        <v/>
      </c>
      <c r="D210" s="20" t="str">
        <f>IF(A210&lt;&gt;"",VLOOKUP(A210,Tasks!B:G,5,FALSE),"")</f>
        <v/>
      </c>
      <c r="E210" s="21" t="str">
        <f>IF(A210&lt;&gt;"",VLOOKUP(A210,Tasks!B:G,6,FALSE),"")</f>
        <v/>
      </c>
    </row>
    <row r="211" spans="2:5" x14ac:dyDescent="0.4">
      <c r="B211" s="21" t="str">
        <f>IF(A211&lt;&gt;"",VLOOKUP(A211,Tasks!B:G,2,FALSE),"")</f>
        <v/>
      </c>
      <c r="C211" s="20" t="str">
        <f>IF(A211&lt;&gt;"",VLOOKUP(A211,Tasks!B:G,4,FALSE),"")</f>
        <v/>
      </c>
      <c r="D211" s="20" t="str">
        <f>IF(A211&lt;&gt;"",VLOOKUP(A211,Tasks!B:G,5,FALSE),"")</f>
        <v/>
      </c>
      <c r="E211" s="21" t="str">
        <f>IF(A211&lt;&gt;"",VLOOKUP(A211,Tasks!B:G,6,FALSE),"")</f>
        <v/>
      </c>
    </row>
    <row r="212" spans="2:5" x14ac:dyDescent="0.4">
      <c r="B212" s="21" t="str">
        <f>IF(A212&lt;&gt;"",VLOOKUP(A212,Tasks!B:G,2,FALSE),"")</f>
        <v/>
      </c>
      <c r="C212" s="20" t="str">
        <f>IF(A212&lt;&gt;"",VLOOKUP(A212,Tasks!B:G,4,FALSE),"")</f>
        <v/>
      </c>
      <c r="D212" s="20" t="str">
        <f>IF(A212&lt;&gt;"",VLOOKUP(A212,Tasks!B:G,5,FALSE),"")</f>
        <v/>
      </c>
      <c r="E212" s="21" t="str">
        <f>IF(A212&lt;&gt;"",VLOOKUP(A212,Tasks!B:G,6,FALSE),"")</f>
        <v/>
      </c>
    </row>
    <row r="213" spans="2:5" x14ac:dyDescent="0.4">
      <c r="B213" s="21" t="str">
        <f>IF(A213&lt;&gt;"",VLOOKUP(A213,Tasks!B:G,2,FALSE),"")</f>
        <v/>
      </c>
      <c r="C213" s="20" t="str">
        <f>IF(A213&lt;&gt;"",VLOOKUP(A213,Tasks!B:G,4,FALSE),"")</f>
        <v/>
      </c>
      <c r="D213" s="20" t="str">
        <f>IF(A213&lt;&gt;"",VLOOKUP(A213,Tasks!B:G,5,FALSE),"")</f>
        <v/>
      </c>
      <c r="E213" s="21" t="str">
        <f>IF(A213&lt;&gt;"",VLOOKUP(A213,Tasks!B:G,6,FALSE),"")</f>
        <v/>
      </c>
    </row>
    <row r="214" spans="2:5" x14ac:dyDescent="0.4">
      <c r="B214" s="21" t="str">
        <f>IF(A214&lt;&gt;"",VLOOKUP(A214,Tasks!B:G,2,FALSE),"")</f>
        <v/>
      </c>
      <c r="C214" s="20" t="str">
        <f>IF(A214&lt;&gt;"",VLOOKUP(A214,Tasks!B:G,4,FALSE),"")</f>
        <v/>
      </c>
      <c r="D214" s="20" t="str">
        <f>IF(A214&lt;&gt;"",VLOOKUP(A214,Tasks!B:G,5,FALSE),"")</f>
        <v/>
      </c>
      <c r="E214" s="21" t="str">
        <f>IF(A214&lt;&gt;"",VLOOKUP(A214,Tasks!B:G,6,FALSE),"")</f>
        <v/>
      </c>
    </row>
    <row r="215" spans="2:5" x14ac:dyDescent="0.4">
      <c r="B215" s="21" t="str">
        <f>IF(A215&lt;&gt;"",VLOOKUP(A215,Tasks!B:G,2,FALSE),"")</f>
        <v/>
      </c>
      <c r="C215" s="20" t="str">
        <f>IF(A215&lt;&gt;"",VLOOKUP(A215,Tasks!B:G,4,FALSE),"")</f>
        <v/>
      </c>
      <c r="D215" s="20" t="str">
        <f>IF(A215&lt;&gt;"",VLOOKUP(A215,Tasks!B:G,5,FALSE),"")</f>
        <v/>
      </c>
      <c r="E215" s="21" t="str">
        <f>IF(A215&lt;&gt;"",VLOOKUP(A215,Tasks!B:G,6,FALSE),"")</f>
        <v/>
      </c>
    </row>
    <row r="216" spans="2:5" x14ac:dyDescent="0.4">
      <c r="B216" s="21" t="str">
        <f>IF(A216&lt;&gt;"",VLOOKUP(A216,Tasks!B:G,2,FALSE),"")</f>
        <v/>
      </c>
      <c r="C216" s="20" t="str">
        <f>IF(A216&lt;&gt;"",VLOOKUP(A216,Tasks!B:G,4,FALSE),"")</f>
        <v/>
      </c>
      <c r="D216" s="20" t="str">
        <f>IF(A216&lt;&gt;"",VLOOKUP(A216,Tasks!B:G,5,FALSE),"")</f>
        <v/>
      </c>
      <c r="E216" s="21" t="str">
        <f>IF(A216&lt;&gt;"",VLOOKUP(A216,Tasks!B:G,6,FALSE),"")</f>
        <v/>
      </c>
    </row>
    <row r="217" spans="2:5" x14ac:dyDescent="0.4">
      <c r="B217" s="21" t="str">
        <f>IF(A217&lt;&gt;"",VLOOKUP(A217,Tasks!B:G,2,FALSE),"")</f>
        <v/>
      </c>
      <c r="C217" s="20" t="str">
        <f>IF(A217&lt;&gt;"",VLOOKUP(A217,Tasks!B:G,4,FALSE),"")</f>
        <v/>
      </c>
      <c r="D217" s="20" t="str">
        <f>IF(A217&lt;&gt;"",VLOOKUP(A217,Tasks!B:G,5,FALSE),"")</f>
        <v/>
      </c>
      <c r="E217" s="21" t="str">
        <f>IF(A217&lt;&gt;"",VLOOKUP(A217,Tasks!B:G,6,FALSE),"")</f>
        <v/>
      </c>
    </row>
    <row r="218" spans="2:5" x14ac:dyDescent="0.4">
      <c r="B218" s="21" t="str">
        <f>IF(A218&lt;&gt;"",VLOOKUP(A218,Tasks!B:G,2,FALSE),"")</f>
        <v/>
      </c>
      <c r="C218" s="20" t="str">
        <f>IF(A218&lt;&gt;"",VLOOKUP(A218,Tasks!B:G,4,FALSE),"")</f>
        <v/>
      </c>
      <c r="D218" s="20" t="str">
        <f>IF(A218&lt;&gt;"",VLOOKUP(A218,Tasks!B:G,5,FALSE),"")</f>
        <v/>
      </c>
      <c r="E218" s="21" t="str">
        <f>IF(A218&lt;&gt;"",VLOOKUP(A218,Tasks!B:G,6,FALSE),"")</f>
        <v/>
      </c>
    </row>
    <row r="219" spans="2:5" x14ac:dyDescent="0.4">
      <c r="B219" s="21" t="str">
        <f>IF(A219&lt;&gt;"",VLOOKUP(A219,Tasks!B:G,2,FALSE),"")</f>
        <v/>
      </c>
      <c r="C219" s="20" t="str">
        <f>IF(A219&lt;&gt;"",VLOOKUP(A219,Tasks!B:G,4,FALSE),"")</f>
        <v/>
      </c>
      <c r="D219" s="20" t="str">
        <f>IF(A219&lt;&gt;"",VLOOKUP(A219,Tasks!B:G,5,FALSE),"")</f>
        <v/>
      </c>
      <c r="E219" s="21" t="str">
        <f>IF(A219&lt;&gt;"",VLOOKUP(A219,Tasks!B:G,6,FALSE),"")</f>
        <v/>
      </c>
    </row>
    <row r="220" spans="2:5" x14ac:dyDescent="0.4">
      <c r="B220" s="21" t="str">
        <f>IF(A220&lt;&gt;"",VLOOKUP(A220,Tasks!B:G,2,FALSE),"")</f>
        <v/>
      </c>
      <c r="C220" s="20" t="str">
        <f>IF(A220&lt;&gt;"",VLOOKUP(A220,Tasks!B:G,4,FALSE),"")</f>
        <v/>
      </c>
      <c r="D220" s="20" t="str">
        <f>IF(A220&lt;&gt;"",VLOOKUP(A220,Tasks!B:G,5,FALSE),"")</f>
        <v/>
      </c>
      <c r="E220" s="21" t="str">
        <f>IF(A220&lt;&gt;"",VLOOKUP(A220,Tasks!B:G,6,FALSE),"")</f>
        <v/>
      </c>
    </row>
    <row r="221" spans="2:5" x14ac:dyDescent="0.4">
      <c r="B221" s="21" t="str">
        <f>IF(A221&lt;&gt;"",VLOOKUP(A221,Tasks!B:G,2,FALSE),"")</f>
        <v/>
      </c>
      <c r="C221" s="20" t="str">
        <f>IF(A221&lt;&gt;"",VLOOKUP(A221,Tasks!B:G,4,FALSE),"")</f>
        <v/>
      </c>
      <c r="D221" s="20" t="str">
        <f>IF(A221&lt;&gt;"",VLOOKUP(A221,Tasks!B:G,5,FALSE),"")</f>
        <v/>
      </c>
      <c r="E221" s="21" t="str">
        <f>IF(A221&lt;&gt;"",VLOOKUP(A221,Tasks!B:G,6,FALSE),"")</f>
        <v/>
      </c>
    </row>
    <row r="222" spans="2:5" x14ac:dyDescent="0.4">
      <c r="B222" s="21" t="str">
        <f>IF(A222&lt;&gt;"",VLOOKUP(A222,Tasks!B:G,2,FALSE),"")</f>
        <v/>
      </c>
      <c r="C222" s="20" t="str">
        <f>IF(A222&lt;&gt;"",VLOOKUP(A222,Tasks!B:G,4,FALSE),"")</f>
        <v/>
      </c>
      <c r="D222" s="20" t="str">
        <f>IF(A222&lt;&gt;"",VLOOKUP(A222,Tasks!B:G,5,FALSE),"")</f>
        <v/>
      </c>
      <c r="E222" s="21" t="str">
        <f>IF(A222&lt;&gt;"",VLOOKUP(A222,Tasks!B:G,6,FALSE),"")</f>
        <v/>
      </c>
    </row>
    <row r="223" spans="2:5" x14ac:dyDescent="0.4">
      <c r="B223" s="21" t="str">
        <f>IF(A223&lt;&gt;"",VLOOKUP(A223,Tasks!B:G,2,FALSE),"")</f>
        <v/>
      </c>
      <c r="C223" s="20" t="str">
        <f>IF(A223&lt;&gt;"",VLOOKUP(A223,Tasks!B:G,4,FALSE),"")</f>
        <v/>
      </c>
      <c r="D223" s="20" t="str">
        <f>IF(A223&lt;&gt;"",VLOOKUP(A223,Tasks!B:G,5,FALSE),"")</f>
        <v/>
      </c>
      <c r="E223" s="21" t="str">
        <f>IF(A223&lt;&gt;"",VLOOKUP(A223,Tasks!B:G,6,FALSE),"")</f>
        <v/>
      </c>
    </row>
    <row r="224" spans="2:5" x14ac:dyDescent="0.4">
      <c r="B224" s="21" t="str">
        <f>IF(A224&lt;&gt;"",VLOOKUP(A224,Tasks!B:G,2,FALSE),"")</f>
        <v/>
      </c>
      <c r="C224" s="20" t="str">
        <f>IF(A224&lt;&gt;"",VLOOKUP(A224,Tasks!B:G,4,FALSE),"")</f>
        <v/>
      </c>
      <c r="D224" s="20" t="str">
        <f>IF(A224&lt;&gt;"",VLOOKUP(A224,Tasks!B:G,5,FALSE),"")</f>
        <v/>
      </c>
      <c r="E224" s="21" t="str">
        <f>IF(A224&lt;&gt;"",VLOOKUP(A224,Tasks!B:G,6,FALSE),"")</f>
        <v/>
      </c>
    </row>
    <row r="225" spans="2:5" x14ac:dyDescent="0.4">
      <c r="B225" s="21" t="str">
        <f>IF(A225&lt;&gt;"",VLOOKUP(A225,Tasks!B:G,2,FALSE),"")</f>
        <v/>
      </c>
      <c r="C225" s="20" t="str">
        <f>IF(A225&lt;&gt;"",VLOOKUP(A225,Tasks!B:G,4,FALSE),"")</f>
        <v/>
      </c>
      <c r="D225" s="20" t="str">
        <f>IF(A225&lt;&gt;"",VLOOKUP(A225,Tasks!B:G,5,FALSE),"")</f>
        <v/>
      </c>
      <c r="E225" s="21" t="str">
        <f>IF(A225&lt;&gt;"",VLOOKUP(A225,Tasks!B:G,6,FALSE),"")</f>
        <v/>
      </c>
    </row>
    <row r="226" spans="2:5" x14ac:dyDescent="0.4">
      <c r="B226" s="21" t="str">
        <f>IF(A226&lt;&gt;"",VLOOKUP(A226,Tasks!B:G,2,FALSE),"")</f>
        <v/>
      </c>
      <c r="C226" s="20" t="str">
        <f>IF(A226&lt;&gt;"",VLOOKUP(A226,Tasks!B:G,4,FALSE),"")</f>
        <v/>
      </c>
      <c r="D226" s="20" t="str">
        <f>IF(A226&lt;&gt;"",VLOOKUP(A226,Tasks!B:G,5,FALSE),"")</f>
        <v/>
      </c>
      <c r="E226" s="21" t="str">
        <f>IF(A226&lt;&gt;"",VLOOKUP(A226,Tasks!B:G,6,FALSE),"")</f>
        <v/>
      </c>
    </row>
    <row r="227" spans="2:5" x14ac:dyDescent="0.4">
      <c r="B227" s="21" t="str">
        <f>IF(A227&lt;&gt;"",VLOOKUP(A227,Tasks!B:G,2,FALSE),"")</f>
        <v/>
      </c>
      <c r="C227" s="20" t="str">
        <f>IF(A227&lt;&gt;"",VLOOKUP(A227,Tasks!B:G,4,FALSE),"")</f>
        <v/>
      </c>
      <c r="D227" s="20" t="str">
        <f>IF(A227&lt;&gt;"",VLOOKUP(A227,Tasks!B:G,5,FALSE),"")</f>
        <v/>
      </c>
      <c r="E227" s="21" t="str">
        <f>IF(A227&lt;&gt;"",VLOOKUP(A227,Tasks!B:G,6,FALSE),"")</f>
        <v/>
      </c>
    </row>
    <row r="228" spans="2:5" x14ac:dyDescent="0.4">
      <c r="B228" s="21" t="str">
        <f>IF(A228&lt;&gt;"",VLOOKUP(A228,Tasks!B:G,2,FALSE),"")</f>
        <v/>
      </c>
      <c r="C228" s="20" t="str">
        <f>IF(A228&lt;&gt;"",VLOOKUP(A228,Tasks!B:G,4,FALSE),"")</f>
        <v/>
      </c>
      <c r="D228" s="20" t="str">
        <f>IF(A228&lt;&gt;"",VLOOKUP(A228,Tasks!B:G,5,FALSE),"")</f>
        <v/>
      </c>
      <c r="E228" s="21" t="str">
        <f>IF(A228&lt;&gt;"",VLOOKUP(A228,Tasks!B:G,6,FALSE),"")</f>
        <v/>
      </c>
    </row>
    <row r="229" spans="2:5" x14ac:dyDescent="0.4">
      <c r="B229" s="21" t="str">
        <f>IF(A229&lt;&gt;"",VLOOKUP(A229,Tasks!B:G,2,FALSE),"")</f>
        <v/>
      </c>
      <c r="C229" s="20" t="str">
        <f>IF(A229&lt;&gt;"",VLOOKUP(A229,Tasks!B:G,4,FALSE),"")</f>
        <v/>
      </c>
      <c r="D229" s="20" t="str">
        <f>IF(A229&lt;&gt;"",VLOOKUP(A229,Tasks!B:G,5,FALSE),"")</f>
        <v/>
      </c>
      <c r="E229" s="21" t="str">
        <f>IF(A229&lt;&gt;"",VLOOKUP(A229,Tasks!B:G,6,FALSE),"")</f>
        <v/>
      </c>
    </row>
    <row r="230" spans="2:5" x14ac:dyDescent="0.4">
      <c r="B230" s="21" t="str">
        <f>IF(A230&lt;&gt;"",VLOOKUP(A230,Tasks!B:G,2,FALSE),"")</f>
        <v/>
      </c>
      <c r="C230" s="20" t="str">
        <f>IF(A230&lt;&gt;"",VLOOKUP(A230,Tasks!B:G,4,FALSE),"")</f>
        <v/>
      </c>
      <c r="D230" s="20" t="str">
        <f>IF(A230&lt;&gt;"",VLOOKUP(A230,Tasks!B:G,5,FALSE),"")</f>
        <v/>
      </c>
      <c r="E230" s="21" t="str">
        <f>IF(A230&lt;&gt;"",VLOOKUP(A230,Tasks!B:G,6,FALSE),"")</f>
        <v/>
      </c>
    </row>
    <row r="231" spans="2:5" x14ac:dyDescent="0.4">
      <c r="B231" s="21" t="str">
        <f>IF(A231&lt;&gt;"",VLOOKUP(A231,Tasks!B:G,2,FALSE),"")</f>
        <v/>
      </c>
      <c r="C231" s="20" t="str">
        <f>IF(A231&lt;&gt;"",VLOOKUP(A231,Tasks!B:G,4,FALSE),"")</f>
        <v/>
      </c>
      <c r="D231" s="20" t="str">
        <f>IF(A231&lt;&gt;"",VLOOKUP(A231,Tasks!B:G,5,FALSE),"")</f>
        <v/>
      </c>
      <c r="E231" s="21" t="str">
        <f>IF(A231&lt;&gt;"",VLOOKUP(A231,Tasks!B:G,6,FALSE),"")</f>
        <v/>
      </c>
    </row>
    <row r="232" spans="2:5" x14ac:dyDescent="0.4">
      <c r="B232" s="21" t="str">
        <f>IF(A232&lt;&gt;"",VLOOKUP(A232,Tasks!B:G,2,FALSE),"")</f>
        <v/>
      </c>
      <c r="C232" s="20" t="str">
        <f>IF(A232&lt;&gt;"",VLOOKUP(A232,Tasks!B:G,4,FALSE),"")</f>
        <v/>
      </c>
      <c r="D232" s="20" t="str">
        <f>IF(A232&lt;&gt;"",VLOOKUP(A232,Tasks!B:G,5,FALSE),"")</f>
        <v/>
      </c>
      <c r="E232" s="21" t="str">
        <f>IF(A232&lt;&gt;"",VLOOKUP(A232,Tasks!B:G,6,FALSE),"")</f>
        <v/>
      </c>
    </row>
    <row r="233" spans="2:5" x14ac:dyDescent="0.4">
      <c r="B233" s="21" t="str">
        <f>IF(A233&lt;&gt;"",VLOOKUP(A233,Tasks!B:G,2,FALSE),"")</f>
        <v/>
      </c>
      <c r="C233" s="20" t="str">
        <f>IF(A233&lt;&gt;"",VLOOKUP(A233,Tasks!B:G,4,FALSE),"")</f>
        <v/>
      </c>
      <c r="D233" s="20" t="str">
        <f>IF(A233&lt;&gt;"",VLOOKUP(A233,Tasks!B:G,5,FALSE),"")</f>
        <v/>
      </c>
      <c r="E233" s="21" t="str">
        <f>IF(A233&lt;&gt;"",VLOOKUP(A233,Tasks!B:G,6,FALSE),"")</f>
        <v/>
      </c>
    </row>
    <row r="234" spans="2:5" x14ac:dyDescent="0.4">
      <c r="B234" s="21" t="str">
        <f>IF(A234&lt;&gt;"",VLOOKUP(A234,Tasks!B:G,2,FALSE),"")</f>
        <v/>
      </c>
      <c r="C234" s="20" t="str">
        <f>IF(A234&lt;&gt;"",VLOOKUP(A234,Tasks!B:G,4,FALSE),"")</f>
        <v/>
      </c>
      <c r="D234" s="20" t="str">
        <f>IF(A234&lt;&gt;"",VLOOKUP(A234,Tasks!B:G,5,FALSE),"")</f>
        <v/>
      </c>
      <c r="E234" s="21" t="str">
        <f>IF(A234&lt;&gt;"",VLOOKUP(A234,Tasks!B:G,6,FALSE),"")</f>
        <v/>
      </c>
    </row>
    <row r="235" spans="2:5" x14ac:dyDescent="0.4">
      <c r="B235" s="21" t="str">
        <f>IF(A235&lt;&gt;"",VLOOKUP(A235,Tasks!B:G,2,FALSE),"")</f>
        <v/>
      </c>
      <c r="C235" s="20" t="str">
        <f>IF(A235&lt;&gt;"",VLOOKUP(A235,Tasks!B:G,4,FALSE),"")</f>
        <v/>
      </c>
      <c r="D235" s="20" t="str">
        <f>IF(A235&lt;&gt;"",VLOOKUP(A235,Tasks!B:G,5,FALSE),"")</f>
        <v/>
      </c>
      <c r="E235" s="21" t="str">
        <f>IF(A235&lt;&gt;"",VLOOKUP(A235,Tasks!B:G,6,FALSE),"")</f>
        <v/>
      </c>
    </row>
    <row r="236" spans="2:5" x14ac:dyDescent="0.4">
      <c r="B236" s="21" t="str">
        <f>IF(A236&lt;&gt;"",VLOOKUP(A236,Tasks!B:G,2,FALSE),"")</f>
        <v/>
      </c>
      <c r="C236" s="20" t="str">
        <f>IF(A236&lt;&gt;"",VLOOKUP(A236,Tasks!B:G,4,FALSE),"")</f>
        <v/>
      </c>
      <c r="D236" s="20" t="str">
        <f>IF(A236&lt;&gt;"",VLOOKUP(A236,Tasks!B:G,5,FALSE),"")</f>
        <v/>
      </c>
      <c r="E236" s="21" t="str">
        <f>IF(A236&lt;&gt;"",VLOOKUP(A236,Tasks!B:G,6,FALSE),"")</f>
        <v/>
      </c>
    </row>
    <row r="237" spans="2:5" x14ac:dyDescent="0.4">
      <c r="B237" s="21" t="str">
        <f>IF(A237&lt;&gt;"",VLOOKUP(A237,Tasks!B:G,2,FALSE),"")</f>
        <v/>
      </c>
      <c r="C237" s="20" t="str">
        <f>IF(A237&lt;&gt;"",VLOOKUP(A237,Tasks!B:G,4,FALSE),"")</f>
        <v/>
      </c>
      <c r="D237" s="20" t="str">
        <f>IF(A237&lt;&gt;"",VLOOKUP(A237,Tasks!B:G,5,FALSE),"")</f>
        <v/>
      </c>
      <c r="E237" s="21" t="str">
        <f>IF(A237&lt;&gt;"",VLOOKUP(A237,Tasks!B:G,6,FALSE),"")</f>
        <v/>
      </c>
    </row>
    <row r="238" spans="2:5" x14ac:dyDescent="0.4">
      <c r="B238" s="21" t="str">
        <f>IF(A238&lt;&gt;"",VLOOKUP(A238,Tasks!B:G,2,FALSE),"")</f>
        <v/>
      </c>
      <c r="C238" s="20" t="str">
        <f>IF(A238&lt;&gt;"",VLOOKUP(A238,Tasks!B:G,4,FALSE),"")</f>
        <v/>
      </c>
      <c r="D238" s="20" t="str">
        <f>IF(A238&lt;&gt;"",VLOOKUP(A238,Tasks!B:G,5,FALSE),"")</f>
        <v/>
      </c>
      <c r="E238" s="21" t="str">
        <f>IF(A238&lt;&gt;"",VLOOKUP(A238,Tasks!B:G,6,FALSE),"")</f>
        <v/>
      </c>
    </row>
    <row r="239" spans="2:5" x14ac:dyDescent="0.4">
      <c r="B239" s="21" t="str">
        <f>IF(A239&lt;&gt;"",VLOOKUP(A239,Tasks!B:G,2,FALSE),"")</f>
        <v/>
      </c>
      <c r="C239" s="20" t="str">
        <f>IF(A239&lt;&gt;"",VLOOKUP(A239,Tasks!B:G,4,FALSE),"")</f>
        <v/>
      </c>
      <c r="D239" s="20" t="str">
        <f>IF(A239&lt;&gt;"",VLOOKUP(A239,Tasks!B:G,5,FALSE),"")</f>
        <v/>
      </c>
      <c r="E239" s="21" t="str">
        <f>IF(A239&lt;&gt;"",VLOOKUP(A239,Tasks!B:G,6,FALSE),"")</f>
        <v/>
      </c>
    </row>
    <row r="240" spans="2:5" x14ac:dyDescent="0.4">
      <c r="B240" s="21" t="str">
        <f>IF(A240&lt;&gt;"",VLOOKUP(A240,Tasks!B:G,2,FALSE),"")</f>
        <v/>
      </c>
      <c r="C240" s="20" t="str">
        <f>IF(A240&lt;&gt;"",VLOOKUP(A240,Tasks!B:G,4,FALSE),"")</f>
        <v/>
      </c>
      <c r="D240" s="20" t="str">
        <f>IF(A240&lt;&gt;"",VLOOKUP(A240,Tasks!B:G,5,FALSE),"")</f>
        <v/>
      </c>
      <c r="E240" s="21" t="str">
        <f>IF(A240&lt;&gt;"",VLOOKUP(A240,Tasks!B:G,6,FALSE),"")</f>
        <v/>
      </c>
    </row>
    <row r="241" spans="2:5" x14ac:dyDescent="0.4">
      <c r="B241" s="21" t="str">
        <f>IF(A241&lt;&gt;"",VLOOKUP(A241,Tasks!B:G,2,FALSE),"")</f>
        <v/>
      </c>
      <c r="C241" s="20" t="str">
        <f>IF(A241&lt;&gt;"",VLOOKUP(A241,Tasks!B:G,4,FALSE),"")</f>
        <v/>
      </c>
      <c r="D241" s="20" t="str">
        <f>IF(A241&lt;&gt;"",VLOOKUP(A241,Tasks!B:G,5,FALSE),"")</f>
        <v/>
      </c>
      <c r="E241" s="21" t="str">
        <f>IF(A241&lt;&gt;"",VLOOKUP(A241,Tasks!B:G,6,FALSE),"")</f>
        <v/>
      </c>
    </row>
    <row r="242" spans="2:5" x14ac:dyDescent="0.4">
      <c r="B242" s="21" t="str">
        <f>IF(A242&lt;&gt;"",VLOOKUP(A242,Tasks!B:G,2,FALSE),"")</f>
        <v/>
      </c>
      <c r="C242" s="20" t="str">
        <f>IF(A242&lt;&gt;"",VLOOKUP(A242,Tasks!B:G,4,FALSE),"")</f>
        <v/>
      </c>
      <c r="D242" s="20" t="str">
        <f>IF(A242&lt;&gt;"",VLOOKUP(A242,Tasks!B:G,5,FALSE),"")</f>
        <v/>
      </c>
      <c r="E242" s="21" t="str">
        <f>IF(A242&lt;&gt;"",VLOOKUP(A242,Tasks!B:G,6,FALSE),"")</f>
        <v/>
      </c>
    </row>
    <row r="243" spans="2:5" x14ac:dyDescent="0.4">
      <c r="B243" s="21" t="str">
        <f>IF(A243&lt;&gt;"",VLOOKUP(A243,Tasks!B:G,2,FALSE),"")</f>
        <v/>
      </c>
      <c r="C243" s="20" t="str">
        <f>IF(A243&lt;&gt;"",VLOOKUP(A243,Tasks!B:G,4,FALSE),"")</f>
        <v/>
      </c>
      <c r="D243" s="20" t="str">
        <f>IF(A243&lt;&gt;"",VLOOKUP(A243,Tasks!B:G,5,FALSE),"")</f>
        <v/>
      </c>
      <c r="E243" s="21" t="str">
        <f>IF(A243&lt;&gt;"",VLOOKUP(A243,Tasks!B:G,6,FALSE),"")</f>
        <v/>
      </c>
    </row>
    <row r="244" spans="2:5" x14ac:dyDescent="0.4">
      <c r="B244" s="21" t="str">
        <f>IF(A244&lt;&gt;"",VLOOKUP(A244,Tasks!B:G,2,FALSE),"")</f>
        <v/>
      </c>
      <c r="C244" s="20" t="str">
        <f>IF(A244&lt;&gt;"",VLOOKUP(A244,Tasks!B:G,4,FALSE),"")</f>
        <v/>
      </c>
      <c r="D244" s="20" t="str">
        <f>IF(A244&lt;&gt;"",VLOOKUP(A244,Tasks!B:G,5,FALSE),"")</f>
        <v/>
      </c>
      <c r="E244" s="21" t="str">
        <f>IF(A244&lt;&gt;"",VLOOKUP(A244,Tasks!B:G,6,FALSE),"")</f>
        <v/>
      </c>
    </row>
    <row r="245" spans="2:5" x14ac:dyDescent="0.4">
      <c r="B245" s="21" t="str">
        <f>IF(A245&lt;&gt;"",VLOOKUP(A245,Tasks!B:G,2,FALSE),"")</f>
        <v/>
      </c>
      <c r="C245" s="20" t="str">
        <f>IF(A245&lt;&gt;"",VLOOKUP(A245,Tasks!B:G,4,FALSE),"")</f>
        <v/>
      </c>
      <c r="D245" s="20" t="str">
        <f>IF(A245&lt;&gt;"",VLOOKUP(A245,Tasks!B:G,5,FALSE),"")</f>
        <v/>
      </c>
      <c r="E245" s="21" t="str">
        <f>IF(A245&lt;&gt;"",VLOOKUP(A245,Tasks!B:G,6,FALSE),"")</f>
        <v/>
      </c>
    </row>
    <row r="246" spans="2:5" x14ac:dyDescent="0.4">
      <c r="B246" s="21" t="str">
        <f>IF(A246&lt;&gt;"",VLOOKUP(A246,Tasks!B:G,2,FALSE),"")</f>
        <v/>
      </c>
      <c r="C246" s="20" t="str">
        <f>IF(A246&lt;&gt;"",VLOOKUP(A246,Tasks!B:G,4,FALSE),"")</f>
        <v/>
      </c>
      <c r="D246" s="20" t="str">
        <f>IF(A246&lt;&gt;"",VLOOKUP(A246,Tasks!B:G,5,FALSE),"")</f>
        <v/>
      </c>
      <c r="E246" s="21" t="str">
        <f>IF(A246&lt;&gt;"",VLOOKUP(A246,Tasks!B:G,6,FALSE),"")</f>
        <v/>
      </c>
    </row>
    <row r="247" spans="2:5" x14ac:dyDescent="0.4">
      <c r="B247" s="21" t="str">
        <f>IF(A247&lt;&gt;"",VLOOKUP(A247,Tasks!B:G,2,FALSE),"")</f>
        <v/>
      </c>
      <c r="C247" s="20" t="str">
        <f>IF(A247&lt;&gt;"",VLOOKUP(A247,Tasks!B:G,4,FALSE),"")</f>
        <v/>
      </c>
      <c r="D247" s="20" t="str">
        <f>IF(A247&lt;&gt;"",VLOOKUP(A247,Tasks!B:G,5,FALSE),"")</f>
        <v/>
      </c>
      <c r="E247" s="21" t="str">
        <f>IF(A247&lt;&gt;"",VLOOKUP(A247,Tasks!B:G,6,FALSE),"")</f>
        <v/>
      </c>
    </row>
    <row r="248" spans="2:5" x14ac:dyDescent="0.4">
      <c r="B248" s="21" t="str">
        <f>IF(A248&lt;&gt;"",VLOOKUP(A248,Tasks!B:G,2,FALSE),"")</f>
        <v/>
      </c>
      <c r="C248" s="20" t="str">
        <f>IF(A248&lt;&gt;"",VLOOKUP(A248,Tasks!B:G,4,FALSE),"")</f>
        <v/>
      </c>
      <c r="D248" s="20" t="str">
        <f>IF(A248&lt;&gt;"",VLOOKUP(A248,Tasks!B:G,5,FALSE),"")</f>
        <v/>
      </c>
      <c r="E248" s="21" t="str">
        <f>IF(A248&lt;&gt;"",VLOOKUP(A248,Tasks!B:G,6,FALSE),"")</f>
        <v/>
      </c>
    </row>
    <row r="249" spans="2:5" x14ac:dyDescent="0.4">
      <c r="B249" s="21" t="str">
        <f>IF(A249&lt;&gt;"",VLOOKUP(A249,Tasks!B:G,2,FALSE),"")</f>
        <v/>
      </c>
      <c r="C249" s="20" t="str">
        <f>IF(A249&lt;&gt;"",VLOOKUP(A249,Tasks!B:G,4,FALSE),"")</f>
        <v/>
      </c>
      <c r="D249" s="20" t="str">
        <f>IF(A249&lt;&gt;"",VLOOKUP(A249,Tasks!B:G,5,FALSE),"")</f>
        <v/>
      </c>
      <c r="E249" s="21" t="str">
        <f>IF(A249&lt;&gt;"",VLOOKUP(A249,Tasks!B:G,6,FALSE),"")</f>
        <v/>
      </c>
    </row>
    <row r="250" spans="2:5" x14ac:dyDescent="0.4">
      <c r="B250" s="21" t="str">
        <f>IF(A250&lt;&gt;"",VLOOKUP(A250,Tasks!B:G,2,FALSE),"")</f>
        <v/>
      </c>
      <c r="C250" s="20" t="str">
        <f>IF(A250&lt;&gt;"",VLOOKUP(A250,Tasks!B:G,4,FALSE),"")</f>
        <v/>
      </c>
      <c r="D250" s="20" t="str">
        <f>IF(A250&lt;&gt;"",VLOOKUP(A250,Tasks!B:G,5,FALSE),"")</f>
        <v/>
      </c>
      <c r="E250" s="21" t="str">
        <f>IF(A250&lt;&gt;"",VLOOKUP(A250,Tasks!B:G,6,FALSE),"")</f>
        <v/>
      </c>
    </row>
    <row r="251" spans="2:5" x14ac:dyDescent="0.4">
      <c r="B251" s="21" t="str">
        <f>IF(A251&lt;&gt;"",VLOOKUP(A251,Tasks!B:G,2,FALSE),"")</f>
        <v/>
      </c>
      <c r="C251" s="20" t="str">
        <f>IF(A251&lt;&gt;"",VLOOKUP(A251,Tasks!B:G,4,FALSE),"")</f>
        <v/>
      </c>
      <c r="D251" s="20" t="str">
        <f>IF(A251&lt;&gt;"",VLOOKUP(A251,Tasks!B:G,5,FALSE),"")</f>
        <v/>
      </c>
      <c r="E251" s="21" t="str">
        <f>IF(A251&lt;&gt;"",VLOOKUP(A251,Tasks!B:G,6,FALSE),"")</f>
        <v/>
      </c>
    </row>
    <row r="252" spans="2:5" x14ac:dyDescent="0.4">
      <c r="B252" s="21" t="str">
        <f>IF(A252&lt;&gt;"",VLOOKUP(A252,Tasks!B:G,2,FALSE),"")</f>
        <v/>
      </c>
      <c r="C252" s="20" t="str">
        <f>IF(A252&lt;&gt;"",VLOOKUP(A252,Tasks!B:G,4,FALSE),"")</f>
        <v/>
      </c>
      <c r="D252" s="20" t="str">
        <f>IF(A252&lt;&gt;"",VLOOKUP(A252,Tasks!B:G,5,FALSE),"")</f>
        <v/>
      </c>
      <c r="E252" s="21" t="str">
        <f>IF(A252&lt;&gt;"",VLOOKUP(A252,Tasks!B:G,6,FALSE),"")</f>
        <v/>
      </c>
    </row>
    <row r="253" spans="2:5" x14ac:dyDescent="0.4">
      <c r="B253" s="21" t="str">
        <f>IF(A253&lt;&gt;"",VLOOKUP(A253,Tasks!B:G,2,FALSE),"")</f>
        <v/>
      </c>
      <c r="C253" s="20" t="str">
        <f>IF(A253&lt;&gt;"",VLOOKUP(A253,Tasks!B:G,4,FALSE),"")</f>
        <v/>
      </c>
      <c r="D253" s="20" t="str">
        <f>IF(A253&lt;&gt;"",VLOOKUP(A253,Tasks!B:G,5,FALSE),"")</f>
        <v/>
      </c>
      <c r="E253" s="21" t="str">
        <f>IF(A253&lt;&gt;"",VLOOKUP(A253,Tasks!B:G,6,FALSE),"")</f>
        <v/>
      </c>
    </row>
    <row r="254" spans="2:5" x14ac:dyDescent="0.4">
      <c r="B254" s="21" t="str">
        <f>IF(A254&lt;&gt;"",VLOOKUP(A254,Tasks!B:G,2,FALSE),"")</f>
        <v/>
      </c>
      <c r="C254" s="20" t="str">
        <f>IF(A254&lt;&gt;"",VLOOKUP(A254,Tasks!B:G,4,FALSE),"")</f>
        <v/>
      </c>
      <c r="D254" s="20" t="str">
        <f>IF(A254&lt;&gt;"",VLOOKUP(A254,Tasks!B:G,5,FALSE),"")</f>
        <v/>
      </c>
      <c r="E254" s="21" t="str">
        <f>IF(A254&lt;&gt;"",VLOOKUP(A254,Tasks!B:G,6,FALSE),"")</f>
        <v/>
      </c>
    </row>
    <row r="255" spans="2:5" x14ac:dyDescent="0.4">
      <c r="B255" s="21" t="str">
        <f>IF(A255&lt;&gt;"",VLOOKUP(A255,Tasks!B:G,2,FALSE),"")</f>
        <v/>
      </c>
      <c r="C255" s="20" t="str">
        <f>IF(A255&lt;&gt;"",VLOOKUP(A255,Tasks!B:G,4,FALSE),"")</f>
        <v/>
      </c>
      <c r="D255" s="20" t="str">
        <f>IF(A255&lt;&gt;"",VLOOKUP(A255,Tasks!B:G,5,FALSE),"")</f>
        <v/>
      </c>
      <c r="E255" s="21" t="str">
        <f>IF(A255&lt;&gt;"",VLOOKUP(A255,Tasks!B:G,6,FALSE),"")</f>
        <v/>
      </c>
    </row>
    <row r="256" spans="2:5" x14ac:dyDescent="0.4">
      <c r="B256" s="21" t="str">
        <f>IF(A256&lt;&gt;"",VLOOKUP(A256,Tasks!B:G,2,FALSE),"")</f>
        <v/>
      </c>
      <c r="C256" s="20" t="str">
        <f>IF(A256&lt;&gt;"",VLOOKUP(A256,Tasks!B:G,4,FALSE),"")</f>
        <v/>
      </c>
      <c r="D256" s="20" t="str">
        <f>IF(A256&lt;&gt;"",VLOOKUP(A256,Tasks!B:G,5,FALSE),"")</f>
        <v/>
      </c>
      <c r="E256" s="21" t="str">
        <f>IF(A256&lt;&gt;"",VLOOKUP(A256,Tasks!B:G,6,FALSE),"")</f>
        <v/>
      </c>
    </row>
    <row r="257" spans="2:5" x14ac:dyDescent="0.4">
      <c r="B257" s="21" t="str">
        <f>IF(A257&lt;&gt;"",VLOOKUP(A257,Tasks!B:G,2,FALSE),"")</f>
        <v/>
      </c>
      <c r="C257" s="20" t="str">
        <f>IF(A257&lt;&gt;"",VLOOKUP(A257,Tasks!B:G,4,FALSE),"")</f>
        <v/>
      </c>
      <c r="D257" s="20" t="str">
        <f>IF(A257&lt;&gt;"",VLOOKUP(A257,Tasks!B:G,5,FALSE),"")</f>
        <v/>
      </c>
      <c r="E257" s="21" t="str">
        <f>IF(A257&lt;&gt;"",VLOOKUP(A257,Tasks!B:G,6,FALSE),"")</f>
        <v/>
      </c>
    </row>
    <row r="258" spans="2:5" x14ac:dyDescent="0.4">
      <c r="B258" s="21" t="str">
        <f>IF(A258&lt;&gt;"",VLOOKUP(A258,Tasks!B:G,2,FALSE),"")</f>
        <v/>
      </c>
      <c r="C258" s="20" t="str">
        <f>IF(A258&lt;&gt;"",VLOOKUP(A258,Tasks!B:G,4,FALSE),"")</f>
        <v/>
      </c>
      <c r="D258" s="20" t="str">
        <f>IF(A258&lt;&gt;"",VLOOKUP(A258,Tasks!B:G,5,FALSE),"")</f>
        <v/>
      </c>
      <c r="E258" s="21" t="str">
        <f>IF(A258&lt;&gt;"",VLOOKUP(A258,Tasks!B:G,6,FALSE),"")</f>
        <v/>
      </c>
    </row>
    <row r="259" spans="2:5" x14ac:dyDescent="0.4">
      <c r="B259" s="21" t="str">
        <f>IF(A259&lt;&gt;"",VLOOKUP(A259,Tasks!B:G,2,FALSE),"")</f>
        <v/>
      </c>
      <c r="C259" s="20" t="str">
        <f>IF(A259&lt;&gt;"",VLOOKUP(A259,Tasks!B:G,4,FALSE),"")</f>
        <v/>
      </c>
      <c r="D259" s="20" t="str">
        <f>IF(A259&lt;&gt;"",VLOOKUP(A259,Tasks!B:G,5,FALSE),"")</f>
        <v/>
      </c>
      <c r="E259" s="21" t="str">
        <f>IF(A259&lt;&gt;"",VLOOKUP(A259,Tasks!B:G,6,FALSE),"")</f>
        <v/>
      </c>
    </row>
    <row r="260" spans="2:5" x14ac:dyDescent="0.4">
      <c r="B260" s="21" t="str">
        <f>IF(A260&lt;&gt;"",VLOOKUP(A260,Tasks!B:G,2,FALSE),"")</f>
        <v/>
      </c>
      <c r="C260" s="20" t="str">
        <f>IF(A260&lt;&gt;"",VLOOKUP(A260,Tasks!B:G,4,FALSE),"")</f>
        <v/>
      </c>
      <c r="D260" s="20" t="str">
        <f>IF(A260&lt;&gt;"",VLOOKUP(A260,Tasks!B:G,5,FALSE),"")</f>
        <v/>
      </c>
      <c r="E260" s="21" t="str">
        <f>IF(A260&lt;&gt;"",VLOOKUP(A260,Tasks!B:G,6,FALSE),"")</f>
        <v/>
      </c>
    </row>
    <row r="261" spans="2:5" x14ac:dyDescent="0.4">
      <c r="B261" s="21" t="str">
        <f>IF(A261&lt;&gt;"",VLOOKUP(A261,Tasks!B:G,2,FALSE),"")</f>
        <v/>
      </c>
      <c r="C261" s="20" t="str">
        <f>IF(A261&lt;&gt;"",VLOOKUP(A261,Tasks!B:G,4,FALSE),"")</f>
        <v/>
      </c>
      <c r="D261" s="20" t="str">
        <f>IF(A261&lt;&gt;"",VLOOKUP(A261,Tasks!B:G,5,FALSE),"")</f>
        <v/>
      </c>
      <c r="E261" s="21" t="str">
        <f>IF(A261&lt;&gt;"",VLOOKUP(A261,Tasks!B:G,6,FALSE),"")</f>
        <v/>
      </c>
    </row>
    <row r="262" spans="2:5" x14ac:dyDescent="0.4">
      <c r="B262" s="21" t="str">
        <f>IF(A262&lt;&gt;"",VLOOKUP(A262,Tasks!B:G,2,FALSE),"")</f>
        <v/>
      </c>
      <c r="C262" s="20" t="str">
        <f>IF(A262&lt;&gt;"",VLOOKUP(A262,Tasks!B:G,4,FALSE),"")</f>
        <v/>
      </c>
      <c r="D262" s="20" t="str">
        <f>IF(A262&lt;&gt;"",VLOOKUP(A262,Tasks!B:G,5,FALSE),"")</f>
        <v/>
      </c>
      <c r="E262" s="21" t="str">
        <f>IF(A262&lt;&gt;"",VLOOKUP(A262,Tasks!B:G,6,FALSE),"")</f>
        <v/>
      </c>
    </row>
    <row r="263" spans="2:5" x14ac:dyDescent="0.4">
      <c r="B263" s="21" t="str">
        <f>IF(A263&lt;&gt;"",VLOOKUP(A263,Tasks!B:G,2,FALSE),"")</f>
        <v/>
      </c>
      <c r="C263" s="20" t="str">
        <f>IF(A263&lt;&gt;"",VLOOKUP(A263,Tasks!B:G,4,FALSE),"")</f>
        <v/>
      </c>
      <c r="D263" s="20" t="str">
        <f>IF(A263&lt;&gt;"",VLOOKUP(A263,Tasks!B:G,5,FALSE),"")</f>
        <v/>
      </c>
      <c r="E263" s="21" t="str">
        <f>IF(A263&lt;&gt;"",VLOOKUP(A263,Tasks!B:G,6,FALSE),"")</f>
        <v/>
      </c>
    </row>
    <row r="264" spans="2:5" x14ac:dyDescent="0.4">
      <c r="B264" s="21" t="str">
        <f>IF(A264&lt;&gt;"",VLOOKUP(A264,Tasks!B:G,2,FALSE),"")</f>
        <v/>
      </c>
      <c r="C264" s="20" t="str">
        <f>IF(A264&lt;&gt;"",VLOOKUP(A264,Tasks!B:G,4,FALSE),"")</f>
        <v/>
      </c>
      <c r="D264" s="20" t="str">
        <f>IF(A264&lt;&gt;"",VLOOKUP(A264,Tasks!B:G,5,FALSE),"")</f>
        <v/>
      </c>
      <c r="E264" s="21" t="str">
        <f>IF(A264&lt;&gt;"",VLOOKUP(A264,Tasks!B:G,6,FALSE),"")</f>
        <v/>
      </c>
    </row>
    <row r="265" spans="2:5" x14ac:dyDescent="0.4">
      <c r="B265" s="21" t="str">
        <f>IF(A265&lt;&gt;"",VLOOKUP(A265,Tasks!B:G,2,FALSE),"")</f>
        <v/>
      </c>
      <c r="C265" s="20" t="str">
        <f>IF(A265&lt;&gt;"",VLOOKUP(A265,Tasks!B:G,4,FALSE),"")</f>
        <v/>
      </c>
      <c r="D265" s="20" t="str">
        <f>IF(A265&lt;&gt;"",VLOOKUP(A265,Tasks!B:G,5,FALSE),"")</f>
        <v/>
      </c>
      <c r="E265" s="21" t="str">
        <f>IF(A265&lt;&gt;"",VLOOKUP(A265,Tasks!B:G,6,FALSE),"")</f>
        <v/>
      </c>
    </row>
    <row r="266" spans="2:5" x14ac:dyDescent="0.4">
      <c r="B266" s="21" t="str">
        <f>IF(A266&lt;&gt;"",VLOOKUP(A266,Tasks!B:G,2,FALSE),"")</f>
        <v/>
      </c>
      <c r="C266" s="20" t="str">
        <f>IF(A266&lt;&gt;"",VLOOKUP(A266,Tasks!B:G,4,FALSE),"")</f>
        <v/>
      </c>
      <c r="D266" s="20" t="str">
        <f>IF(A266&lt;&gt;"",VLOOKUP(A266,Tasks!B:G,5,FALSE),"")</f>
        <v/>
      </c>
      <c r="E266" s="21" t="str">
        <f>IF(A266&lt;&gt;"",VLOOKUP(A266,Tasks!B:G,6,FALSE),"")</f>
        <v/>
      </c>
    </row>
    <row r="267" spans="2:5" x14ac:dyDescent="0.4">
      <c r="B267" s="21" t="str">
        <f>IF(A267&lt;&gt;"",VLOOKUP(A267,Tasks!B:G,2,FALSE),"")</f>
        <v/>
      </c>
      <c r="C267" s="20" t="str">
        <f>IF(A267&lt;&gt;"",VLOOKUP(A267,Tasks!B:G,4,FALSE),"")</f>
        <v/>
      </c>
      <c r="D267" s="20" t="str">
        <f>IF(A267&lt;&gt;"",VLOOKUP(A267,Tasks!B:G,5,FALSE),"")</f>
        <v/>
      </c>
      <c r="E267" s="21" t="str">
        <f>IF(A267&lt;&gt;"",VLOOKUP(A267,Tasks!B:G,6,FALSE),"")</f>
        <v/>
      </c>
    </row>
    <row r="268" spans="2:5" x14ac:dyDescent="0.4">
      <c r="B268" s="21" t="str">
        <f>IF(A268&lt;&gt;"",VLOOKUP(A268,Tasks!B:G,2,FALSE),"")</f>
        <v/>
      </c>
      <c r="C268" s="20" t="str">
        <f>IF(A268&lt;&gt;"",VLOOKUP(A268,Tasks!B:G,4,FALSE),"")</f>
        <v/>
      </c>
      <c r="D268" s="20" t="str">
        <f>IF(A268&lt;&gt;"",VLOOKUP(A268,Tasks!B:G,5,FALSE),"")</f>
        <v/>
      </c>
      <c r="E268" s="21" t="str">
        <f>IF(A268&lt;&gt;"",VLOOKUP(A268,Tasks!B:G,6,FALSE),"")</f>
        <v/>
      </c>
    </row>
    <row r="269" spans="2:5" x14ac:dyDescent="0.4">
      <c r="B269" s="21" t="str">
        <f>IF(A269&lt;&gt;"",VLOOKUP(A269,Tasks!B:G,2,FALSE),"")</f>
        <v/>
      </c>
      <c r="C269" s="20" t="str">
        <f>IF(A269&lt;&gt;"",VLOOKUP(A269,Tasks!B:G,4,FALSE),"")</f>
        <v/>
      </c>
      <c r="D269" s="20" t="str">
        <f>IF(A269&lt;&gt;"",VLOOKUP(A269,Tasks!B:G,5,FALSE),"")</f>
        <v/>
      </c>
      <c r="E269" s="21" t="str">
        <f>IF(A269&lt;&gt;"",VLOOKUP(A269,Tasks!B:G,6,FALSE),"")</f>
        <v/>
      </c>
    </row>
    <row r="270" spans="2:5" x14ac:dyDescent="0.4">
      <c r="B270" s="21" t="str">
        <f>IF(A270&lt;&gt;"",VLOOKUP(A270,Tasks!B:G,2,FALSE),"")</f>
        <v/>
      </c>
      <c r="C270" s="20" t="str">
        <f>IF(A270&lt;&gt;"",VLOOKUP(A270,Tasks!B:G,4,FALSE),"")</f>
        <v/>
      </c>
      <c r="D270" s="20" t="str">
        <f>IF(A270&lt;&gt;"",VLOOKUP(A270,Tasks!B:G,5,FALSE),"")</f>
        <v/>
      </c>
      <c r="E270" s="21" t="str">
        <f>IF(A270&lt;&gt;"",VLOOKUP(A270,Tasks!B:G,6,FALSE),"")</f>
        <v/>
      </c>
    </row>
    <row r="271" spans="2:5" x14ac:dyDescent="0.4">
      <c r="B271" s="21" t="str">
        <f>IF(A271&lt;&gt;"",VLOOKUP(A271,Tasks!B:G,2,FALSE),"")</f>
        <v/>
      </c>
      <c r="C271" s="20" t="str">
        <f>IF(A271&lt;&gt;"",VLOOKUP(A271,Tasks!B:G,4,FALSE),"")</f>
        <v/>
      </c>
      <c r="D271" s="20" t="str">
        <f>IF(A271&lt;&gt;"",VLOOKUP(A271,Tasks!B:G,5,FALSE),"")</f>
        <v/>
      </c>
      <c r="E271" s="21" t="str">
        <f>IF(A271&lt;&gt;"",VLOOKUP(A271,Tasks!B:G,6,FALSE),"")</f>
        <v/>
      </c>
    </row>
    <row r="272" spans="2:5" x14ac:dyDescent="0.4">
      <c r="B272" s="21" t="str">
        <f>IF(A272&lt;&gt;"",VLOOKUP(A272,Tasks!B:G,2,FALSE),"")</f>
        <v/>
      </c>
      <c r="C272" s="20" t="str">
        <f>IF(A272&lt;&gt;"",VLOOKUP(A272,Tasks!B:G,4,FALSE),"")</f>
        <v/>
      </c>
      <c r="D272" s="20" t="str">
        <f>IF(A272&lt;&gt;"",VLOOKUP(A272,Tasks!B:G,5,FALSE),"")</f>
        <v/>
      </c>
      <c r="E272" s="21" t="str">
        <f>IF(A272&lt;&gt;"",VLOOKUP(A272,Tasks!B:G,6,FALSE),"")</f>
        <v/>
      </c>
    </row>
    <row r="273" spans="2:5" x14ac:dyDescent="0.4">
      <c r="B273" s="21" t="str">
        <f>IF(A273&lt;&gt;"",VLOOKUP(A273,Tasks!B:G,2,FALSE),"")</f>
        <v/>
      </c>
      <c r="C273" s="20" t="str">
        <f>IF(A273&lt;&gt;"",VLOOKUP(A273,Tasks!B:G,4,FALSE),"")</f>
        <v/>
      </c>
      <c r="D273" s="20" t="str">
        <f>IF(A273&lt;&gt;"",VLOOKUP(A273,Tasks!B:G,5,FALSE),"")</f>
        <v/>
      </c>
      <c r="E273" s="21" t="str">
        <f>IF(A273&lt;&gt;"",VLOOKUP(A273,Tasks!B:G,6,FALSE),"")</f>
        <v/>
      </c>
    </row>
    <row r="274" spans="2:5" x14ac:dyDescent="0.4">
      <c r="B274" s="21" t="str">
        <f>IF(A274&lt;&gt;"",VLOOKUP(A274,Tasks!B:G,2,FALSE),"")</f>
        <v/>
      </c>
      <c r="C274" s="20" t="str">
        <f>IF(A274&lt;&gt;"",VLOOKUP(A274,Tasks!B:G,4,FALSE),"")</f>
        <v/>
      </c>
      <c r="D274" s="20" t="str">
        <f>IF(A274&lt;&gt;"",VLOOKUP(A274,Tasks!B:G,5,FALSE),"")</f>
        <v/>
      </c>
      <c r="E274" s="21" t="str">
        <f>IF(A274&lt;&gt;"",VLOOKUP(A274,Tasks!B:G,6,FALSE),"")</f>
        <v/>
      </c>
    </row>
    <row r="275" spans="2:5" x14ac:dyDescent="0.4">
      <c r="B275" s="21" t="str">
        <f>IF(A275&lt;&gt;"",VLOOKUP(A275,Tasks!B:G,2,FALSE),"")</f>
        <v/>
      </c>
      <c r="C275" s="20" t="str">
        <f>IF(A275&lt;&gt;"",VLOOKUP(A275,Tasks!B:G,4,FALSE),"")</f>
        <v/>
      </c>
      <c r="D275" s="20" t="str">
        <f>IF(A275&lt;&gt;"",VLOOKUP(A275,Tasks!B:G,5,FALSE),"")</f>
        <v/>
      </c>
      <c r="E275" s="21" t="str">
        <f>IF(A275&lt;&gt;"",VLOOKUP(A275,Tasks!B:G,6,FALSE),"")</f>
        <v/>
      </c>
    </row>
    <row r="276" spans="2:5" x14ac:dyDescent="0.4">
      <c r="B276" s="21" t="str">
        <f>IF(A276&lt;&gt;"",VLOOKUP(A276,Tasks!B:G,2,FALSE),"")</f>
        <v/>
      </c>
      <c r="C276" s="20" t="str">
        <f>IF(A276&lt;&gt;"",VLOOKUP(A276,Tasks!B:G,4,FALSE),"")</f>
        <v/>
      </c>
      <c r="D276" s="20" t="str">
        <f>IF(A276&lt;&gt;"",VLOOKUP(A276,Tasks!B:G,5,FALSE),"")</f>
        <v/>
      </c>
      <c r="E276" s="21" t="str">
        <f>IF(A276&lt;&gt;"",VLOOKUP(A276,Tasks!B:G,6,FALSE),"")</f>
        <v/>
      </c>
    </row>
    <row r="277" spans="2:5" x14ac:dyDescent="0.4">
      <c r="B277" s="21" t="str">
        <f>IF(A277&lt;&gt;"",VLOOKUP(A277,Tasks!B:G,2,FALSE),"")</f>
        <v/>
      </c>
      <c r="C277" s="20" t="str">
        <f>IF(A277&lt;&gt;"",VLOOKUP(A277,Tasks!B:G,4,FALSE),"")</f>
        <v/>
      </c>
      <c r="D277" s="20" t="str">
        <f>IF(A277&lt;&gt;"",VLOOKUP(A277,Tasks!B:G,5,FALSE),"")</f>
        <v/>
      </c>
      <c r="E277" s="21" t="str">
        <f>IF(A277&lt;&gt;"",VLOOKUP(A277,Tasks!B:G,6,FALSE),"")</f>
        <v/>
      </c>
    </row>
    <row r="278" spans="2:5" x14ac:dyDescent="0.4">
      <c r="B278" s="21" t="str">
        <f>IF(A278&lt;&gt;"",VLOOKUP(A278,Tasks!B:G,2,FALSE),"")</f>
        <v/>
      </c>
      <c r="C278" s="20" t="str">
        <f>IF(A278&lt;&gt;"",VLOOKUP(A278,Tasks!B:G,4,FALSE),"")</f>
        <v/>
      </c>
      <c r="D278" s="20" t="str">
        <f>IF(A278&lt;&gt;"",VLOOKUP(A278,Tasks!B:G,5,FALSE),"")</f>
        <v/>
      </c>
      <c r="E278" s="21" t="str">
        <f>IF(A278&lt;&gt;"",VLOOKUP(A278,Tasks!B:G,6,FALSE),"")</f>
        <v/>
      </c>
    </row>
    <row r="279" spans="2:5" x14ac:dyDescent="0.4">
      <c r="B279" s="21" t="str">
        <f>IF(A279&lt;&gt;"",VLOOKUP(A279,Tasks!B:G,2,FALSE),"")</f>
        <v/>
      </c>
      <c r="C279" s="20" t="str">
        <f>IF(A279&lt;&gt;"",VLOOKUP(A279,Tasks!B:G,4,FALSE),"")</f>
        <v/>
      </c>
      <c r="D279" s="20" t="str">
        <f>IF(A279&lt;&gt;"",VLOOKUP(A279,Tasks!B:G,5,FALSE),"")</f>
        <v/>
      </c>
      <c r="E279" s="21" t="str">
        <f>IF(A279&lt;&gt;"",VLOOKUP(A279,Tasks!B:G,6,FALSE),"")</f>
        <v/>
      </c>
    </row>
    <row r="280" spans="2:5" x14ac:dyDescent="0.4">
      <c r="B280" s="21" t="str">
        <f>IF(A280&lt;&gt;"",VLOOKUP(A280,Tasks!B:G,2,FALSE),"")</f>
        <v/>
      </c>
      <c r="C280" s="20" t="str">
        <f>IF(A280&lt;&gt;"",VLOOKUP(A280,Tasks!B:G,4,FALSE),"")</f>
        <v/>
      </c>
      <c r="D280" s="20" t="str">
        <f>IF(A280&lt;&gt;"",VLOOKUP(A280,Tasks!B:G,5,FALSE),"")</f>
        <v/>
      </c>
      <c r="E280" s="21" t="str">
        <f>IF(A280&lt;&gt;"",VLOOKUP(A280,Tasks!B:G,6,FALSE),"")</f>
        <v/>
      </c>
    </row>
    <row r="281" spans="2:5" x14ac:dyDescent="0.4">
      <c r="B281" s="21" t="str">
        <f>IF(A281&lt;&gt;"",VLOOKUP(A281,Tasks!B:G,2,FALSE),"")</f>
        <v/>
      </c>
      <c r="C281" s="20" t="str">
        <f>IF(A281&lt;&gt;"",VLOOKUP(A281,Tasks!B:G,4,FALSE),"")</f>
        <v/>
      </c>
      <c r="D281" s="20" t="str">
        <f>IF(A281&lt;&gt;"",VLOOKUP(A281,Tasks!B:G,5,FALSE),"")</f>
        <v/>
      </c>
      <c r="E281" s="21" t="str">
        <f>IF(A281&lt;&gt;"",VLOOKUP(A281,Tasks!B:G,6,FALSE),"")</f>
        <v/>
      </c>
    </row>
    <row r="282" spans="2:5" x14ac:dyDescent="0.4">
      <c r="B282" s="21" t="str">
        <f>IF(A282&lt;&gt;"",VLOOKUP(A282,Tasks!B:G,2,FALSE),"")</f>
        <v/>
      </c>
      <c r="C282" s="20" t="str">
        <f>IF(A282&lt;&gt;"",VLOOKUP(A282,Tasks!B:G,4,FALSE),"")</f>
        <v/>
      </c>
      <c r="D282" s="20" t="str">
        <f>IF(A282&lt;&gt;"",VLOOKUP(A282,Tasks!B:G,5,FALSE),"")</f>
        <v/>
      </c>
      <c r="E282" s="21" t="str">
        <f>IF(A282&lt;&gt;"",VLOOKUP(A282,Tasks!B:G,6,FALSE),"")</f>
        <v/>
      </c>
    </row>
    <row r="283" spans="2:5" x14ac:dyDescent="0.4">
      <c r="B283" s="21" t="str">
        <f>IF(A283&lt;&gt;"",VLOOKUP(A283,Tasks!B:G,2,FALSE),"")</f>
        <v/>
      </c>
      <c r="C283" s="20" t="str">
        <f>IF(A283&lt;&gt;"",VLOOKUP(A283,Tasks!B:G,4,FALSE),"")</f>
        <v/>
      </c>
      <c r="D283" s="20" t="str">
        <f>IF(A283&lt;&gt;"",VLOOKUP(A283,Tasks!B:G,5,FALSE),"")</f>
        <v/>
      </c>
      <c r="E283" s="21" t="str">
        <f>IF(A283&lt;&gt;"",VLOOKUP(A283,Tasks!B:G,6,FALSE),"")</f>
        <v/>
      </c>
    </row>
    <row r="284" spans="2:5" x14ac:dyDescent="0.4">
      <c r="B284" s="21" t="str">
        <f>IF(A284&lt;&gt;"",VLOOKUP(A284,Tasks!B:G,2,FALSE),"")</f>
        <v/>
      </c>
      <c r="C284" s="20" t="str">
        <f>IF(A284&lt;&gt;"",VLOOKUP(A284,Tasks!B:G,4,FALSE),"")</f>
        <v/>
      </c>
      <c r="D284" s="20" t="str">
        <f>IF(A284&lt;&gt;"",VLOOKUP(A284,Tasks!B:G,5,FALSE),"")</f>
        <v/>
      </c>
      <c r="E284" s="21" t="str">
        <f>IF(A284&lt;&gt;"",VLOOKUP(A284,Tasks!B:G,6,FALSE),"")</f>
        <v/>
      </c>
    </row>
    <row r="285" spans="2:5" x14ac:dyDescent="0.4">
      <c r="B285" s="21" t="str">
        <f>IF(A285&lt;&gt;"",VLOOKUP(A285,Tasks!B:G,2,FALSE),"")</f>
        <v/>
      </c>
      <c r="C285" s="20" t="str">
        <f>IF(A285&lt;&gt;"",VLOOKUP(A285,Tasks!B:G,4,FALSE),"")</f>
        <v/>
      </c>
      <c r="D285" s="20" t="str">
        <f>IF(A285&lt;&gt;"",VLOOKUP(A285,Tasks!B:G,5,FALSE),"")</f>
        <v/>
      </c>
      <c r="E285" s="21" t="str">
        <f>IF(A285&lt;&gt;"",VLOOKUP(A285,Tasks!B:G,6,FALSE),"")</f>
        <v/>
      </c>
    </row>
    <row r="286" spans="2:5" x14ac:dyDescent="0.4">
      <c r="B286" s="21" t="str">
        <f>IF(A286&lt;&gt;"",VLOOKUP(A286,Tasks!B:G,2,FALSE),"")</f>
        <v/>
      </c>
      <c r="C286" s="20" t="str">
        <f>IF(A286&lt;&gt;"",VLOOKUP(A286,Tasks!B:G,4,FALSE),"")</f>
        <v/>
      </c>
      <c r="D286" s="20" t="str">
        <f>IF(A286&lt;&gt;"",VLOOKUP(A286,Tasks!B:G,5,FALSE),"")</f>
        <v/>
      </c>
      <c r="E286" s="21" t="str">
        <f>IF(A286&lt;&gt;"",VLOOKUP(A286,Tasks!B:G,6,FALSE),"")</f>
        <v/>
      </c>
    </row>
    <row r="287" spans="2:5" x14ac:dyDescent="0.4">
      <c r="B287" s="21" t="str">
        <f>IF(A287&lt;&gt;"",VLOOKUP(A287,Tasks!B:G,2,FALSE),"")</f>
        <v/>
      </c>
      <c r="C287" s="20" t="str">
        <f>IF(A287&lt;&gt;"",VLOOKUP(A287,Tasks!B:G,4,FALSE),"")</f>
        <v/>
      </c>
      <c r="D287" s="20" t="str">
        <f>IF(A287&lt;&gt;"",VLOOKUP(A287,Tasks!B:G,5,FALSE),"")</f>
        <v/>
      </c>
      <c r="E287" s="21" t="str">
        <f>IF(A287&lt;&gt;"",VLOOKUP(A287,Tasks!B:G,6,FALSE),"")</f>
        <v/>
      </c>
    </row>
    <row r="288" spans="2:5" x14ac:dyDescent="0.4">
      <c r="B288" s="21" t="str">
        <f>IF(A288&lt;&gt;"",VLOOKUP(A288,Tasks!B:G,2,FALSE),"")</f>
        <v/>
      </c>
      <c r="C288" s="20" t="str">
        <f>IF(A288&lt;&gt;"",VLOOKUP(A288,Tasks!B:G,4,FALSE),"")</f>
        <v/>
      </c>
      <c r="D288" s="20" t="str">
        <f>IF(A288&lt;&gt;"",VLOOKUP(A288,Tasks!B:G,5,FALSE),"")</f>
        <v/>
      </c>
      <c r="E288" s="21" t="str">
        <f>IF(A288&lt;&gt;"",VLOOKUP(A288,Tasks!B:G,6,FALSE),"")</f>
        <v/>
      </c>
    </row>
    <row r="289" spans="2:5" x14ac:dyDescent="0.4">
      <c r="B289" s="21" t="str">
        <f>IF(A289&lt;&gt;"",VLOOKUP(A289,Tasks!B:G,2,FALSE),"")</f>
        <v/>
      </c>
      <c r="C289" s="20" t="str">
        <f>IF(A289&lt;&gt;"",VLOOKUP(A289,Tasks!B:G,4,FALSE),"")</f>
        <v/>
      </c>
      <c r="D289" s="20" t="str">
        <f>IF(A289&lt;&gt;"",VLOOKUP(A289,Tasks!B:G,5,FALSE),"")</f>
        <v/>
      </c>
      <c r="E289" s="21" t="str">
        <f>IF(A289&lt;&gt;"",VLOOKUP(A289,Tasks!B:G,6,FALSE),"")</f>
        <v/>
      </c>
    </row>
    <row r="290" spans="2:5" x14ac:dyDescent="0.4">
      <c r="B290" s="21" t="str">
        <f>IF(A290&lt;&gt;"",VLOOKUP(A290,Tasks!B:G,2,FALSE),"")</f>
        <v/>
      </c>
      <c r="C290" s="20" t="str">
        <f>IF(A290&lt;&gt;"",VLOOKUP(A290,Tasks!B:G,4,FALSE),"")</f>
        <v/>
      </c>
      <c r="D290" s="20" t="str">
        <f>IF(A290&lt;&gt;"",VLOOKUP(A290,Tasks!B:G,5,FALSE),"")</f>
        <v/>
      </c>
      <c r="E290" s="21" t="str">
        <f>IF(A290&lt;&gt;"",VLOOKUP(A290,Tasks!B:G,6,FALSE),"")</f>
        <v/>
      </c>
    </row>
    <row r="291" spans="2:5" x14ac:dyDescent="0.4">
      <c r="B291" s="21" t="str">
        <f>IF(A291&lt;&gt;"",VLOOKUP(A291,Tasks!B:G,2,FALSE),"")</f>
        <v/>
      </c>
      <c r="C291" s="20" t="str">
        <f>IF(A291&lt;&gt;"",VLOOKUP(A291,Tasks!B:G,4,FALSE),"")</f>
        <v/>
      </c>
      <c r="D291" s="20" t="str">
        <f>IF(A291&lt;&gt;"",VLOOKUP(A291,Tasks!B:G,5,FALSE),"")</f>
        <v/>
      </c>
      <c r="E291" s="21" t="str">
        <f>IF(A291&lt;&gt;"",VLOOKUP(A291,Tasks!B:G,6,FALSE),"")</f>
        <v/>
      </c>
    </row>
    <row r="292" spans="2:5" x14ac:dyDescent="0.4">
      <c r="B292" s="21" t="str">
        <f>IF(A292&lt;&gt;"",VLOOKUP(A292,Tasks!B:G,2,FALSE),"")</f>
        <v/>
      </c>
      <c r="C292" s="20" t="str">
        <f>IF(A292&lt;&gt;"",VLOOKUP(A292,Tasks!B:G,4,FALSE),"")</f>
        <v/>
      </c>
      <c r="D292" s="20" t="str">
        <f>IF(A292&lt;&gt;"",VLOOKUP(A292,Tasks!B:G,5,FALSE),"")</f>
        <v/>
      </c>
      <c r="E292" s="21" t="str">
        <f>IF(A292&lt;&gt;"",VLOOKUP(A292,Tasks!B:G,6,FALSE),"")</f>
        <v/>
      </c>
    </row>
    <row r="293" spans="2:5" x14ac:dyDescent="0.4">
      <c r="B293" s="21" t="str">
        <f>IF(A293&lt;&gt;"",VLOOKUP(A293,Tasks!B:G,2,FALSE),"")</f>
        <v/>
      </c>
      <c r="C293" s="20" t="str">
        <f>IF(A293&lt;&gt;"",VLOOKUP(A293,Tasks!B:G,4,FALSE),"")</f>
        <v/>
      </c>
      <c r="D293" s="20" t="str">
        <f>IF(A293&lt;&gt;"",VLOOKUP(A293,Tasks!B:G,5,FALSE),"")</f>
        <v/>
      </c>
      <c r="E293" s="21" t="str">
        <f>IF(A293&lt;&gt;"",VLOOKUP(A293,Tasks!B:G,6,FALSE),"")</f>
        <v/>
      </c>
    </row>
    <row r="294" spans="2:5" x14ac:dyDescent="0.4">
      <c r="B294" s="21" t="str">
        <f>IF(A294&lt;&gt;"",VLOOKUP(A294,Tasks!B:G,2,FALSE),"")</f>
        <v/>
      </c>
      <c r="C294" s="20" t="str">
        <f>IF(A294&lt;&gt;"",VLOOKUP(A294,Tasks!B:G,4,FALSE),"")</f>
        <v/>
      </c>
      <c r="D294" s="20" t="str">
        <f>IF(A294&lt;&gt;"",VLOOKUP(A294,Tasks!B:G,5,FALSE),"")</f>
        <v/>
      </c>
      <c r="E294" s="21" t="str">
        <f>IF(A294&lt;&gt;"",VLOOKUP(A294,Tasks!B:G,6,FALSE),"")</f>
        <v/>
      </c>
    </row>
    <row r="295" spans="2:5" x14ac:dyDescent="0.4">
      <c r="B295" s="21" t="str">
        <f>IF(A295&lt;&gt;"",VLOOKUP(A295,Tasks!B:G,2,FALSE),"")</f>
        <v/>
      </c>
      <c r="C295" s="20" t="str">
        <f>IF(A295&lt;&gt;"",VLOOKUP(A295,Tasks!B:G,4,FALSE),"")</f>
        <v/>
      </c>
      <c r="D295" s="20" t="str">
        <f>IF(A295&lt;&gt;"",VLOOKUP(A295,Tasks!B:G,5,FALSE),"")</f>
        <v/>
      </c>
      <c r="E295" s="21" t="str">
        <f>IF(A295&lt;&gt;"",VLOOKUP(A295,Tasks!B:G,6,FALSE),"")</f>
        <v/>
      </c>
    </row>
    <row r="296" spans="2:5" x14ac:dyDescent="0.4">
      <c r="B296" s="21" t="str">
        <f>IF(A296&lt;&gt;"",VLOOKUP(A296,Tasks!B:G,2,FALSE),"")</f>
        <v/>
      </c>
      <c r="C296" s="20" t="str">
        <f>IF(A296&lt;&gt;"",VLOOKUP(A296,Tasks!B:G,4,FALSE),"")</f>
        <v/>
      </c>
      <c r="D296" s="20" t="str">
        <f>IF(A296&lt;&gt;"",VLOOKUP(A296,Tasks!B:G,5,FALSE),"")</f>
        <v/>
      </c>
      <c r="E296" s="21" t="str">
        <f>IF(A296&lt;&gt;"",VLOOKUP(A296,Tasks!B:G,6,FALSE),"")</f>
        <v/>
      </c>
    </row>
    <row r="297" spans="2:5" x14ac:dyDescent="0.4">
      <c r="B297" s="21" t="str">
        <f>IF(A297&lt;&gt;"",VLOOKUP(A297,Tasks!B:G,2,FALSE),"")</f>
        <v/>
      </c>
      <c r="C297" s="20" t="str">
        <f>IF(A297&lt;&gt;"",VLOOKUP(A297,Tasks!B:G,4,FALSE),"")</f>
        <v/>
      </c>
      <c r="D297" s="20" t="str">
        <f>IF(A297&lt;&gt;"",VLOOKUP(A297,Tasks!B:G,5,FALSE),"")</f>
        <v/>
      </c>
      <c r="E297" s="21" t="str">
        <f>IF(A297&lt;&gt;"",VLOOKUP(A297,Tasks!B:G,6,FALSE),"")</f>
        <v/>
      </c>
    </row>
    <row r="298" spans="2:5" x14ac:dyDescent="0.4">
      <c r="B298" s="21" t="str">
        <f>IF(A298&lt;&gt;"",VLOOKUP(A298,Tasks!B:G,2,FALSE),"")</f>
        <v/>
      </c>
      <c r="C298" s="20" t="str">
        <f>IF(A298&lt;&gt;"",VLOOKUP(A298,Tasks!B:G,4,FALSE),"")</f>
        <v/>
      </c>
      <c r="D298" s="20" t="str">
        <f>IF(A298&lt;&gt;"",VLOOKUP(A298,Tasks!B:G,5,FALSE),"")</f>
        <v/>
      </c>
      <c r="E298" s="21" t="str">
        <f>IF(A298&lt;&gt;"",VLOOKUP(A298,Tasks!B:G,6,FALSE),"")</f>
        <v/>
      </c>
    </row>
    <row r="299" spans="2:5" x14ac:dyDescent="0.4">
      <c r="B299" s="21" t="str">
        <f>IF(A299&lt;&gt;"",VLOOKUP(A299,Tasks!B:G,2,FALSE),"")</f>
        <v/>
      </c>
      <c r="C299" s="20" t="str">
        <f>IF(A299&lt;&gt;"",VLOOKUP(A299,Tasks!B:G,4,FALSE),"")</f>
        <v/>
      </c>
      <c r="D299" s="20" t="str">
        <f>IF(A299&lt;&gt;"",VLOOKUP(A299,Tasks!B:G,5,FALSE),"")</f>
        <v/>
      </c>
      <c r="E299" s="21" t="str">
        <f>IF(A299&lt;&gt;"",VLOOKUP(A299,Tasks!B:G,6,FALSE),"")</f>
        <v/>
      </c>
    </row>
    <row r="300" spans="2:5" x14ac:dyDescent="0.4">
      <c r="B300" s="21" t="str">
        <f>IF(A300&lt;&gt;"",VLOOKUP(A300,Tasks!B:G,2,FALSE),"")</f>
        <v/>
      </c>
      <c r="C300" s="20" t="str">
        <f>IF(A300&lt;&gt;"",VLOOKUP(A300,Tasks!B:G,4,FALSE),"")</f>
        <v/>
      </c>
      <c r="D300" s="20" t="str">
        <f>IF(A300&lt;&gt;"",VLOOKUP(A300,Tasks!B:G,5,FALSE),"")</f>
        <v/>
      </c>
      <c r="E300" s="21" t="str">
        <f>IF(A300&lt;&gt;"",VLOOKUP(A300,Tasks!B:G,6,FALSE),"")</f>
        <v/>
      </c>
    </row>
    <row r="301" spans="2:5" x14ac:dyDescent="0.4">
      <c r="B301" s="21" t="str">
        <f>IF(A301&lt;&gt;"",VLOOKUP(A301,Tasks!B:G,2,FALSE),"")</f>
        <v/>
      </c>
      <c r="C301" s="20" t="str">
        <f>IF(A301&lt;&gt;"",VLOOKUP(A301,Tasks!B:G,4,FALSE),"")</f>
        <v/>
      </c>
      <c r="D301" s="20" t="str">
        <f>IF(A301&lt;&gt;"",VLOOKUP(A301,Tasks!B:G,5,FALSE),"")</f>
        <v/>
      </c>
      <c r="E301" s="21" t="str">
        <f>IF(A301&lt;&gt;"",VLOOKUP(A301,Tasks!B:G,6,FALSE),"")</f>
        <v/>
      </c>
    </row>
    <row r="302" spans="2:5" x14ac:dyDescent="0.4">
      <c r="B302" s="21" t="str">
        <f>IF(A302&lt;&gt;"",VLOOKUP(A302,Tasks!B:G,2,FALSE),"")</f>
        <v/>
      </c>
      <c r="C302" s="20" t="str">
        <f>IF(A302&lt;&gt;"",VLOOKUP(A302,Tasks!B:G,4,FALSE),"")</f>
        <v/>
      </c>
      <c r="D302" s="20" t="str">
        <f>IF(A302&lt;&gt;"",VLOOKUP(A302,Tasks!B:G,5,FALSE),"")</f>
        <v/>
      </c>
      <c r="E302" s="21" t="str">
        <f>IF(A302&lt;&gt;"",VLOOKUP(A302,Tasks!B:G,6,FALSE),"")</f>
        <v/>
      </c>
    </row>
    <row r="303" spans="2:5" x14ac:dyDescent="0.4">
      <c r="B303" s="21" t="str">
        <f>IF(A303&lt;&gt;"",VLOOKUP(A303,Tasks!B:G,2,FALSE),"")</f>
        <v/>
      </c>
      <c r="C303" s="20" t="str">
        <f>IF(A303&lt;&gt;"",VLOOKUP(A303,Tasks!B:G,4,FALSE),"")</f>
        <v/>
      </c>
      <c r="D303" s="20" t="str">
        <f>IF(A303&lt;&gt;"",VLOOKUP(A303,Tasks!B:G,5,FALSE),"")</f>
        <v/>
      </c>
      <c r="E303" s="21" t="str">
        <f>IF(A303&lt;&gt;"",VLOOKUP(A303,Tasks!B:G,6,FALSE),"")</f>
        <v/>
      </c>
    </row>
    <row r="304" spans="2:5" x14ac:dyDescent="0.4">
      <c r="B304" s="21" t="str">
        <f>IF(A304&lt;&gt;"",VLOOKUP(A304,Tasks!B:G,2,FALSE),"")</f>
        <v/>
      </c>
      <c r="C304" s="20" t="str">
        <f>IF(A304&lt;&gt;"",VLOOKUP(A304,Tasks!B:G,4,FALSE),"")</f>
        <v/>
      </c>
      <c r="D304" s="20" t="str">
        <f>IF(A304&lt;&gt;"",VLOOKUP(A304,Tasks!B:G,5,FALSE),"")</f>
        <v/>
      </c>
      <c r="E304" s="21" t="str">
        <f>IF(A304&lt;&gt;"",VLOOKUP(A304,Tasks!B:G,6,FALSE),"")</f>
        <v/>
      </c>
    </row>
    <row r="305" spans="2:5" x14ac:dyDescent="0.4">
      <c r="B305" s="21" t="str">
        <f>IF(A305&lt;&gt;"",VLOOKUP(A305,Tasks!B:G,2,FALSE),"")</f>
        <v/>
      </c>
      <c r="C305" s="20" t="str">
        <f>IF(A305&lt;&gt;"",VLOOKUP(A305,Tasks!B:G,4,FALSE),"")</f>
        <v/>
      </c>
      <c r="D305" s="20" t="str">
        <f>IF(A305&lt;&gt;"",VLOOKUP(A305,Tasks!B:G,5,FALSE),"")</f>
        <v/>
      </c>
      <c r="E305" s="21" t="str">
        <f>IF(A305&lt;&gt;"",VLOOKUP(A305,Tasks!B:G,6,FALSE),"")</f>
        <v/>
      </c>
    </row>
    <row r="306" spans="2:5" x14ac:dyDescent="0.4">
      <c r="B306" s="21" t="str">
        <f>IF(A306&lt;&gt;"",VLOOKUP(A306,Tasks!B:G,2,FALSE),"")</f>
        <v/>
      </c>
      <c r="C306" s="20" t="str">
        <f>IF(A306&lt;&gt;"",VLOOKUP(A306,Tasks!B:G,4,FALSE),"")</f>
        <v/>
      </c>
      <c r="D306" s="20" t="str">
        <f>IF(A306&lt;&gt;"",VLOOKUP(A306,Tasks!B:G,5,FALSE),"")</f>
        <v/>
      </c>
      <c r="E306" s="21" t="str">
        <f>IF(A306&lt;&gt;"",VLOOKUP(A306,Tasks!B:G,6,FALSE),"")</f>
        <v/>
      </c>
    </row>
    <row r="307" spans="2:5" x14ac:dyDescent="0.4">
      <c r="B307" s="21" t="str">
        <f>IF(A307&lt;&gt;"",VLOOKUP(A307,Tasks!B:G,2,FALSE),"")</f>
        <v/>
      </c>
      <c r="C307" s="20" t="str">
        <f>IF(A307&lt;&gt;"",VLOOKUP(A307,Tasks!B:G,4,FALSE),"")</f>
        <v/>
      </c>
      <c r="D307" s="20" t="str">
        <f>IF(A307&lt;&gt;"",VLOOKUP(A307,Tasks!B:G,5,FALSE),"")</f>
        <v/>
      </c>
      <c r="E307" s="21" t="str">
        <f>IF(A307&lt;&gt;"",VLOOKUP(A307,Tasks!B:G,6,FALSE),"")</f>
        <v/>
      </c>
    </row>
    <row r="308" spans="2:5" x14ac:dyDescent="0.4">
      <c r="B308" s="21" t="str">
        <f>IF(A308&lt;&gt;"",VLOOKUP(A308,Tasks!B:G,2,FALSE),"")</f>
        <v/>
      </c>
      <c r="C308" s="20" t="str">
        <f>IF(A308&lt;&gt;"",VLOOKUP(A308,Tasks!B:G,4,FALSE),"")</f>
        <v/>
      </c>
      <c r="D308" s="20" t="str">
        <f>IF(A308&lt;&gt;"",VLOOKUP(A308,Tasks!B:G,5,FALSE),"")</f>
        <v/>
      </c>
      <c r="E308" s="21" t="str">
        <f>IF(A308&lt;&gt;"",VLOOKUP(A308,Tasks!B:G,6,FALSE),"")</f>
        <v/>
      </c>
    </row>
    <row r="309" spans="2:5" x14ac:dyDescent="0.4">
      <c r="B309" s="21" t="str">
        <f>IF(A309&lt;&gt;"",VLOOKUP(A309,Tasks!B:G,2,FALSE),"")</f>
        <v/>
      </c>
      <c r="C309" s="20" t="str">
        <f>IF(A309&lt;&gt;"",VLOOKUP(A309,Tasks!B:G,4,FALSE),"")</f>
        <v/>
      </c>
      <c r="D309" s="20" t="str">
        <f>IF(A309&lt;&gt;"",VLOOKUP(A309,Tasks!B:G,5,FALSE),"")</f>
        <v/>
      </c>
      <c r="E309" s="21" t="str">
        <f>IF(A309&lt;&gt;"",VLOOKUP(A309,Tasks!B:G,6,FALSE),"")</f>
        <v/>
      </c>
    </row>
    <row r="310" spans="2:5" x14ac:dyDescent="0.4">
      <c r="B310" s="21" t="str">
        <f>IF(A310&lt;&gt;"",VLOOKUP(A310,Tasks!B:G,2,FALSE),"")</f>
        <v/>
      </c>
      <c r="C310" s="20" t="str">
        <f>IF(A310&lt;&gt;"",VLOOKUP(A310,Tasks!B:G,4,FALSE),"")</f>
        <v/>
      </c>
      <c r="D310" s="20" t="str">
        <f>IF(A310&lt;&gt;"",VLOOKUP(A310,Tasks!B:G,5,FALSE),"")</f>
        <v/>
      </c>
      <c r="E310" s="21" t="str">
        <f>IF(A310&lt;&gt;"",VLOOKUP(A310,Tasks!B:G,6,FALSE),"")</f>
        <v/>
      </c>
    </row>
    <row r="311" spans="2:5" x14ac:dyDescent="0.4">
      <c r="B311" s="21" t="str">
        <f>IF(A311&lt;&gt;"",VLOOKUP(A311,Tasks!B:G,2,FALSE),"")</f>
        <v/>
      </c>
      <c r="C311" s="20" t="str">
        <f>IF(A311&lt;&gt;"",VLOOKUP(A311,Tasks!B:G,4,FALSE),"")</f>
        <v/>
      </c>
      <c r="D311" s="20" t="str">
        <f>IF(A311&lt;&gt;"",VLOOKUP(A311,Tasks!B:G,5,FALSE),"")</f>
        <v/>
      </c>
      <c r="E311" s="21" t="str">
        <f>IF(A311&lt;&gt;"",VLOOKUP(A311,Tasks!B:G,6,FALSE),"")</f>
        <v/>
      </c>
    </row>
    <row r="312" spans="2:5" x14ac:dyDescent="0.4">
      <c r="B312" s="21" t="str">
        <f>IF(A312&lt;&gt;"",VLOOKUP(A312,Tasks!B:G,2,FALSE),"")</f>
        <v/>
      </c>
      <c r="C312" s="20" t="str">
        <f>IF(A312&lt;&gt;"",VLOOKUP(A312,Tasks!B:G,4,FALSE),"")</f>
        <v/>
      </c>
      <c r="D312" s="20" t="str">
        <f>IF(A312&lt;&gt;"",VLOOKUP(A312,Tasks!B:G,5,FALSE),"")</f>
        <v/>
      </c>
      <c r="E312" s="21" t="str">
        <f>IF(A312&lt;&gt;"",VLOOKUP(A312,Tasks!B:G,6,FALSE),"")</f>
        <v/>
      </c>
    </row>
    <row r="313" spans="2:5" x14ac:dyDescent="0.4">
      <c r="B313" s="21" t="str">
        <f>IF(A313&lt;&gt;"",VLOOKUP(A313,Tasks!B:G,2,FALSE),"")</f>
        <v/>
      </c>
      <c r="C313" s="20" t="str">
        <f>IF(A313&lt;&gt;"",VLOOKUP(A313,Tasks!B:G,4,FALSE),"")</f>
        <v/>
      </c>
      <c r="D313" s="20" t="str">
        <f>IF(A313&lt;&gt;"",VLOOKUP(A313,Tasks!B:G,5,FALSE),"")</f>
        <v/>
      </c>
      <c r="E313" s="21" t="str">
        <f>IF(A313&lt;&gt;"",VLOOKUP(A313,Tasks!B:G,6,FALSE),"")</f>
        <v/>
      </c>
    </row>
    <row r="314" spans="2:5" x14ac:dyDescent="0.4">
      <c r="B314" s="21" t="str">
        <f>IF(A314&lt;&gt;"",VLOOKUP(A314,Tasks!B:G,2,FALSE),"")</f>
        <v/>
      </c>
      <c r="C314" s="20" t="str">
        <f>IF(A314&lt;&gt;"",VLOOKUP(A314,Tasks!B:G,4,FALSE),"")</f>
        <v/>
      </c>
      <c r="D314" s="20" t="str">
        <f>IF(A314&lt;&gt;"",VLOOKUP(A314,Tasks!B:G,5,FALSE),"")</f>
        <v/>
      </c>
      <c r="E314" s="21" t="str">
        <f>IF(A314&lt;&gt;"",VLOOKUP(A314,Tasks!B:G,6,FALSE),"")</f>
        <v/>
      </c>
    </row>
    <row r="315" spans="2:5" x14ac:dyDescent="0.4">
      <c r="B315" s="21" t="str">
        <f>IF(A315&lt;&gt;"",VLOOKUP(A315,Tasks!B:G,2,FALSE),"")</f>
        <v/>
      </c>
      <c r="C315" s="20" t="str">
        <f>IF(A315&lt;&gt;"",VLOOKUP(A315,Tasks!B:G,4,FALSE),"")</f>
        <v/>
      </c>
      <c r="D315" s="20" t="str">
        <f>IF(A315&lt;&gt;"",VLOOKUP(A315,Tasks!B:G,5,FALSE),"")</f>
        <v/>
      </c>
      <c r="E315" s="21" t="str">
        <f>IF(A315&lt;&gt;"",VLOOKUP(A315,Tasks!B:G,6,FALSE),"")</f>
        <v/>
      </c>
    </row>
    <row r="316" spans="2:5" x14ac:dyDescent="0.4">
      <c r="B316" s="21" t="str">
        <f>IF(A316&lt;&gt;"",VLOOKUP(A316,Tasks!B:G,2,FALSE),"")</f>
        <v/>
      </c>
      <c r="C316" s="20" t="str">
        <f>IF(A316&lt;&gt;"",VLOOKUP(A316,Tasks!B:G,4,FALSE),"")</f>
        <v/>
      </c>
      <c r="D316" s="20" t="str">
        <f>IF(A316&lt;&gt;"",VLOOKUP(A316,Tasks!B:G,5,FALSE),"")</f>
        <v/>
      </c>
      <c r="E316" s="21" t="str">
        <f>IF(A316&lt;&gt;"",VLOOKUP(A316,Tasks!B:G,6,FALSE),"")</f>
        <v/>
      </c>
    </row>
    <row r="317" spans="2:5" x14ac:dyDescent="0.4">
      <c r="B317" s="21" t="str">
        <f>IF(A317&lt;&gt;"",VLOOKUP(A317,Tasks!B:G,2,FALSE),"")</f>
        <v/>
      </c>
      <c r="C317" s="20" t="str">
        <f>IF(A317&lt;&gt;"",VLOOKUP(A317,Tasks!B:G,4,FALSE),"")</f>
        <v/>
      </c>
      <c r="D317" s="20" t="str">
        <f>IF(A317&lt;&gt;"",VLOOKUP(A317,Tasks!B:G,5,FALSE),"")</f>
        <v/>
      </c>
      <c r="E317" s="21" t="str">
        <f>IF(A317&lt;&gt;"",VLOOKUP(A317,Tasks!B:G,6,FALSE),"")</f>
        <v/>
      </c>
    </row>
    <row r="318" spans="2:5" x14ac:dyDescent="0.4">
      <c r="B318" s="21" t="str">
        <f>IF(A318&lt;&gt;"",VLOOKUP(A318,Tasks!B:G,2,FALSE),"")</f>
        <v/>
      </c>
      <c r="C318" s="20" t="str">
        <f>IF(A318&lt;&gt;"",VLOOKUP(A318,Tasks!B:G,4,FALSE),"")</f>
        <v/>
      </c>
      <c r="D318" s="20" t="str">
        <f>IF(A318&lt;&gt;"",VLOOKUP(A318,Tasks!B:G,5,FALSE),"")</f>
        <v/>
      </c>
      <c r="E318" s="21" t="str">
        <f>IF(A318&lt;&gt;"",VLOOKUP(A318,Tasks!B:G,6,FALSE),"")</f>
        <v/>
      </c>
    </row>
    <row r="319" spans="2:5" x14ac:dyDescent="0.4">
      <c r="B319" s="21" t="str">
        <f>IF(A319&lt;&gt;"",VLOOKUP(A319,Tasks!B:G,2,FALSE),"")</f>
        <v/>
      </c>
      <c r="C319" s="20" t="str">
        <f>IF(A319&lt;&gt;"",VLOOKUP(A319,Tasks!B:G,4,FALSE),"")</f>
        <v/>
      </c>
      <c r="D319" s="20" t="str">
        <f>IF(A319&lt;&gt;"",VLOOKUP(A319,Tasks!B:G,5,FALSE),"")</f>
        <v/>
      </c>
      <c r="E319" s="21" t="str">
        <f>IF(A319&lt;&gt;"",VLOOKUP(A319,Tasks!B:G,6,FALSE),"")</f>
        <v/>
      </c>
    </row>
    <row r="320" spans="2:5" x14ac:dyDescent="0.4">
      <c r="B320" s="21" t="str">
        <f>IF(A320&lt;&gt;"",VLOOKUP(A320,Tasks!B:G,2,FALSE),"")</f>
        <v/>
      </c>
      <c r="C320" s="20" t="str">
        <f>IF(A320&lt;&gt;"",VLOOKUP(A320,Tasks!B:G,4,FALSE),"")</f>
        <v/>
      </c>
      <c r="D320" s="20" t="str">
        <f>IF(A320&lt;&gt;"",VLOOKUP(A320,Tasks!B:G,5,FALSE),"")</f>
        <v/>
      </c>
      <c r="E320" s="21" t="str">
        <f>IF(A320&lt;&gt;"",VLOOKUP(A320,Tasks!B:G,6,FALSE),"")</f>
        <v/>
      </c>
    </row>
    <row r="321" spans="2:5" x14ac:dyDescent="0.4">
      <c r="B321" s="21" t="str">
        <f>IF(A321&lt;&gt;"",VLOOKUP(A321,Tasks!B:G,2,FALSE),"")</f>
        <v/>
      </c>
      <c r="C321" s="20" t="str">
        <f>IF(A321&lt;&gt;"",VLOOKUP(A321,Tasks!B:G,4,FALSE),"")</f>
        <v/>
      </c>
      <c r="D321" s="20" t="str">
        <f>IF(A321&lt;&gt;"",VLOOKUP(A321,Tasks!B:G,5,FALSE),"")</f>
        <v/>
      </c>
      <c r="E321" s="21" t="str">
        <f>IF(A321&lt;&gt;"",VLOOKUP(A321,Tasks!B:G,6,FALSE),"")</f>
        <v/>
      </c>
    </row>
    <row r="322" spans="2:5" x14ac:dyDescent="0.4">
      <c r="B322" s="21" t="str">
        <f>IF(A322&lt;&gt;"",VLOOKUP(A322,Tasks!B:G,2,FALSE),"")</f>
        <v/>
      </c>
      <c r="C322" s="20" t="str">
        <f>IF(A322&lt;&gt;"",VLOOKUP(A322,Tasks!B:G,4,FALSE),"")</f>
        <v/>
      </c>
      <c r="D322" s="20" t="str">
        <f>IF(A322&lt;&gt;"",VLOOKUP(A322,Tasks!B:G,5,FALSE),"")</f>
        <v/>
      </c>
      <c r="E322" s="21" t="str">
        <f>IF(A322&lt;&gt;"",VLOOKUP(A322,Tasks!B:G,6,FALSE),"")</f>
        <v/>
      </c>
    </row>
    <row r="323" spans="2:5" x14ac:dyDescent="0.4">
      <c r="B323" s="21" t="str">
        <f>IF(A323&lt;&gt;"",VLOOKUP(A323,Tasks!B:G,2,FALSE),"")</f>
        <v/>
      </c>
      <c r="C323" s="20" t="str">
        <f>IF(A323&lt;&gt;"",VLOOKUP(A323,Tasks!B:G,4,FALSE),"")</f>
        <v/>
      </c>
      <c r="D323" s="20" t="str">
        <f>IF(A323&lt;&gt;"",VLOOKUP(A323,Tasks!B:G,5,FALSE),"")</f>
        <v/>
      </c>
      <c r="E323" s="21" t="str">
        <f>IF(A323&lt;&gt;"",VLOOKUP(A323,Tasks!B:G,6,FALSE),"")</f>
        <v/>
      </c>
    </row>
    <row r="324" spans="2:5" x14ac:dyDescent="0.4">
      <c r="B324" s="21" t="str">
        <f>IF(A324&lt;&gt;"",VLOOKUP(A324,Tasks!B:G,2,FALSE),"")</f>
        <v/>
      </c>
      <c r="C324" s="20" t="str">
        <f>IF(A324&lt;&gt;"",VLOOKUP(A324,Tasks!B:G,4,FALSE),"")</f>
        <v/>
      </c>
      <c r="D324" s="20" t="str">
        <f>IF(A324&lt;&gt;"",VLOOKUP(A324,Tasks!B:G,5,FALSE),"")</f>
        <v/>
      </c>
      <c r="E324" s="21" t="str">
        <f>IF(A324&lt;&gt;"",VLOOKUP(A324,Tasks!B:G,6,FALSE),"")</f>
        <v/>
      </c>
    </row>
    <row r="325" spans="2:5" x14ac:dyDescent="0.4">
      <c r="B325" s="21" t="str">
        <f>IF(A325&lt;&gt;"",VLOOKUP(A325,Tasks!B:G,2,FALSE),"")</f>
        <v/>
      </c>
      <c r="C325" s="20" t="str">
        <f>IF(A325&lt;&gt;"",VLOOKUP(A325,Tasks!B:G,4,FALSE),"")</f>
        <v/>
      </c>
      <c r="D325" s="20" t="str">
        <f>IF(A325&lt;&gt;"",VLOOKUP(A325,Tasks!B:G,5,FALSE),"")</f>
        <v/>
      </c>
      <c r="E325" s="21" t="str">
        <f>IF(A325&lt;&gt;"",VLOOKUP(A325,Tasks!B:G,6,FALSE),"")</f>
        <v/>
      </c>
    </row>
    <row r="326" spans="2:5" x14ac:dyDescent="0.4">
      <c r="B326" s="21" t="str">
        <f>IF(A326&lt;&gt;"",VLOOKUP(A326,Tasks!B:G,2,FALSE),"")</f>
        <v/>
      </c>
      <c r="C326" s="20" t="str">
        <f>IF(A326&lt;&gt;"",VLOOKUP(A326,Tasks!B:G,4,FALSE),"")</f>
        <v/>
      </c>
      <c r="D326" s="20" t="str">
        <f>IF(A326&lt;&gt;"",VLOOKUP(A326,Tasks!B:G,5,FALSE),"")</f>
        <v/>
      </c>
      <c r="E326" s="21" t="str">
        <f>IF(A326&lt;&gt;"",VLOOKUP(A326,Tasks!B:G,6,FALSE),"")</f>
        <v/>
      </c>
    </row>
    <row r="327" spans="2:5" x14ac:dyDescent="0.4">
      <c r="B327" s="21" t="str">
        <f>IF(A327&lt;&gt;"",VLOOKUP(A327,Tasks!B:G,2,FALSE),"")</f>
        <v/>
      </c>
      <c r="C327" s="20" t="str">
        <f>IF(A327&lt;&gt;"",VLOOKUP(A327,Tasks!B:G,4,FALSE),"")</f>
        <v/>
      </c>
      <c r="D327" s="20" t="str">
        <f>IF(A327&lt;&gt;"",VLOOKUP(A327,Tasks!B:G,5,FALSE),"")</f>
        <v/>
      </c>
      <c r="E327" s="21" t="str">
        <f>IF(A327&lt;&gt;"",VLOOKUP(A327,Tasks!B:G,6,FALSE),"")</f>
        <v/>
      </c>
    </row>
    <row r="328" spans="2:5" x14ac:dyDescent="0.4">
      <c r="B328" s="21" t="str">
        <f>IF(A328&lt;&gt;"",VLOOKUP(A328,Tasks!B:G,2,FALSE),"")</f>
        <v/>
      </c>
      <c r="C328" s="20" t="str">
        <f>IF(A328&lt;&gt;"",VLOOKUP(A328,Tasks!B:G,4,FALSE),"")</f>
        <v/>
      </c>
      <c r="D328" s="20" t="str">
        <f>IF(A328&lt;&gt;"",VLOOKUP(A328,Tasks!B:G,5,FALSE),"")</f>
        <v/>
      </c>
      <c r="E328" s="21" t="str">
        <f>IF(A328&lt;&gt;"",VLOOKUP(A328,Tasks!B:G,6,FALSE),"")</f>
        <v/>
      </c>
    </row>
    <row r="329" spans="2:5" x14ac:dyDescent="0.4">
      <c r="B329" s="21" t="str">
        <f>IF(A329&lt;&gt;"",VLOOKUP(A329,Tasks!B:G,2,FALSE),"")</f>
        <v/>
      </c>
      <c r="C329" s="20" t="str">
        <f>IF(A329&lt;&gt;"",VLOOKUP(A329,Tasks!B:G,4,FALSE),"")</f>
        <v/>
      </c>
      <c r="D329" s="20" t="str">
        <f>IF(A329&lt;&gt;"",VLOOKUP(A329,Tasks!B:G,5,FALSE),"")</f>
        <v/>
      </c>
      <c r="E329" s="21" t="str">
        <f>IF(A329&lt;&gt;"",VLOOKUP(A329,Tasks!B:G,6,FALSE),"")</f>
        <v/>
      </c>
    </row>
    <row r="330" spans="2:5" x14ac:dyDescent="0.4">
      <c r="B330" s="21" t="str">
        <f>IF(A330&lt;&gt;"",VLOOKUP(A330,Tasks!B:G,2,FALSE),"")</f>
        <v/>
      </c>
      <c r="C330" s="20" t="str">
        <f>IF(A330&lt;&gt;"",VLOOKUP(A330,Tasks!B:G,4,FALSE),"")</f>
        <v/>
      </c>
      <c r="D330" s="20" t="str">
        <f>IF(A330&lt;&gt;"",VLOOKUP(A330,Tasks!B:G,5,FALSE),"")</f>
        <v/>
      </c>
      <c r="E330" s="21" t="str">
        <f>IF(A330&lt;&gt;"",VLOOKUP(A330,Tasks!B:G,6,FALSE),"")</f>
        <v/>
      </c>
    </row>
    <row r="331" spans="2:5" x14ac:dyDescent="0.4">
      <c r="B331" s="21" t="str">
        <f>IF(A331&lt;&gt;"",VLOOKUP(A331,Tasks!B:G,2,FALSE),"")</f>
        <v/>
      </c>
      <c r="C331" s="20" t="str">
        <f>IF(A331&lt;&gt;"",VLOOKUP(A331,Tasks!B:G,4,FALSE),"")</f>
        <v/>
      </c>
      <c r="D331" s="20" t="str">
        <f>IF(A331&lt;&gt;"",VLOOKUP(A331,Tasks!B:G,5,FALSE),"")</f>
        <v/>
      </c>
      <c r="E331" s="21" t="str">
        <f>IF(A331&lt;&gt;"",VLOOKUP(A331,Tasks!B:G,6,FALSE),"")</f>
        <v/>
      </c>
    </row>
    <row r="332" spans="2:5" x14ac:dyDescent="0.4">
      <c r="B332" s="21" t="str">
        <f>IF(A332&lt;&gt;"",VLOOKUP(A332,Tasks!B:G,2,FALSE),"")</f>
        <v/>
      </c>
      <c r="C332" s="20" t="str">
        <f>IF(A332&lt;&gt;"",VLOOKUP(A332,Tasks!B:G,4,FALSE),"")</f>
        <v/>
      </c>
      <c r="D332" s="20" t="str">
        <f>IF(A332&lt;&gt;"",VLOOKUP(A332,Tasks!B:G,5,FALSE),"")</f>
        <v/>
      </c>
      <c r="E332" s="21" t="str">
        <f>IF(A332&lt;&gt;"",VLOOKUP(A332,Tasks!B:G,6,FALSE),"")</f>
        <v/>
      </c>
    </row>
    <row r="333" spans="2:5" x14ac:dyDescent="0.4">
      <c r="B333" s="21" t="str">
        <f>IF(A333&lt;&gt;"",VLOOKUP(A333,Tasks!B:G,2,FALSE),"")</f>
        <v/>
      </c>
      <c r="C333" s="20" t="str">
        <f>IF(A333&lt;&gt;"",VLOOKUP(A333,Tasks!B:G,4,FALSE),"")</f>
        <v/>
      </c>
      <c r="D333" s="20" t="str">
        <f>IF(A333&lt;&gt;"",VLOOKUP(A333,Tasks!B:G,5,FALSE),"")</f>
        <v/>
      </c>
      <c r="E333" s="21" t="str">
        <f>IF(A333&lt;&gt;"",VLOOKUP(A333,Tasks!B:G,6,FALSE),"")</f>
        <v/>
      </c>
    </row>
    <row r="334" spans="2:5" x14ac:dyDescent="0.4">
      <c r="B334" s="21" t="str">
        <f>IF(A334&lt;&gt;"",VLOOKUP(A334,Tasks!B:G,2,FALSE),"")</f>
        <v/>
      </c>
      <c r="C334" s="20" t="str">
        <f>IF(A334&lt;&gt;"",VLOOKUP(A334,Tasks!B:G,4,FALSE),"")</f>
        <v/>
      </c>
      <c r="D334" s="20" t="str">
        <f>IF(A334&lt;&gt;"",VLOOKUP(A334,Tasks!B:G,5,FALSE),"")</f>
        <v/>
      </c>
      <c r="E334" s="21" t="str">
        <f>IF(A334&lt;&gt;"",VLOOKUP(A334,Tasks!B:G,6,FALSE),"")</f>
        <v/>
      </c>
    </row>
    <row r="335" spans="2:5" x14ac:dyDescent="0.4">
      <c r="B335" s="21" t="str">
        <f>IF(A335&lt;&gt;"",VLOOKUP(A335,Tasks!B:G,2,FALSE),"")</f>
        <v/>
      </c>
      <c r="C335" s="20" t="str">
        <f>IF(A335&lt;&gt;"",VLOOKUP(A335,Tasks!B:G,4,FALSE),"")</f>
        <v/>
      </c>
      <c r="D335" s="20" t="str">
        <f>IF(A335&lt;&gt;"",VLOOKUP(A335,Tasks!B:G,5,FALSE),"")</f>
        <v/>
      </c>
      <c r="E335" s="21" t="str">
        <f>IF(A335&lt;&gt;"",VLOOKUP(A335,Tasks!B:G,6,FALSE),"")</f>
        <v/>
      </c>
    </row>
    <row r="336" spans="2:5" x14ac:dyDescent="0.4">
      <c r="B336" s="21" t="str">
        <f>IF(A336&lt;&gt;"",VLOOKUP(A336,Tasks!B:G,2,FALSE),"")</f>
        <v/>
      </c>
      <c r="C336" s="20" t="str">
        <f>IF(A336&lt;&gt;"",VLOOKUP(A336,Tasks!B:G,4,FALSE),"")</f>
        <v/>
      </c>
      <c r="D336" s="20" t="str">
        <f>IF(A336&lt;&gt;"",VLOOKUP(A336,Tasks!B:G,5,FALSE),"")</f>
        <v/>
      </c>
      <c r="E336" s="21" t="str">
        <f>IF(A336&lt;&gt;"",VLOOKUP(A336,Tasks!B:G,6,FALSE),"")</f>
        <v/>
      </c>
    </row>
    <row r="337" spans="2:5" x14ac:dyDescent="0.4">
      <c r="B337" s="21" t="str">
        <f>IF(A337&lt;&gt;"",VLOOKUP(A337,Tasks!B:G,2,FALSE),"")</f>
        <v/>
      </c>
      <c r="C337" s="20" t="str">
        <f>IF(A337&lt;&gt;"",VLOOKUP(A337,Tasks!B:G,4,FALSE),"")</f>
        <v/>
      </c>
      <c r="D337" s="20" t="str">
        <f>IF(A337&lt;&gt;"",VLOOKUP(A337,Tasks!B:G,5,FALSE),"")</f>
        <v/>
      </c>
      <c r="E337" s="21" t="str">
        <f>IF(A337&lt;&gt;"",VLOOKUP(A337,Tasks!B:G,6,FALSE),"")</f>
        <v/>
      </c>
    </row>
    <row r="338" spans="2:5" x14ac:dyDescent="0.4">
      <c r="B338" s="21" t="str">
        <f>IF(A338&lt;&gt;"",VLOOKUP(A338,Tasks!B:G,2,FALSE),"")</f>
        <v/>
      </c>
      <c r="C338" s="20" t="str">
        <f>IF(A338&lt;&gt;"",VLOOKUP(A338,Tasks!B:G,4,FALSE),"")</f>
        <v/>
      </c>
      <c r="D338" s="20" t="str">
        <f>IF(A338&lt;&gt;"",VLOOKUP(A338,Tasks!B:G,5,FALSE),"")</f>
        <v/>
      </c>
      <c r="E338" s="21" t="str">
        <f>IF(A338&lt;&gt;"",VLOOKUP(A338,Tasks!B:G,6,FALSE),"")</f>
        <v/>
      </c>
    </row>
    <row r="339" spans="2:5" x14ac:dyDescent="0.4">
      <c r="B339" s="21" t="str">
        <f>IF(A339&lt;&gt;"",VLOOKUP(A339,Tasks!B:G,2,FALSE),"")</f>
        <v/>
      </c>
      <c r="C339" s="20" t="str">
        <f>IF(A339&lt;&gt;"",VLOOKUP(A339,Tasks!B:G,4,FALSE),"")</f>
        <v/>
      </c>
      <c r="D339" s="20" t="str">
        <f>IF(A339&lt;&gt;"",VLOOKUP(A339,Tasks!B:G,5,FALSE),"")</f>
        <v/>
      </c>
      <c r="E339" s="21" t="str">
        <f>IF(A339&lt;&gt;"",VLOOKUP(A339,Tasks!B:G,6,FALSE),"")</f>
        <v/>
      </c>
    </row>
    <row r="340" spans="2:5" x14ac:dyDescent="0.4">
      <c r="B340" s="21" t="str">
        <f>IF(A340&lt;&gt;"",VLOOKUP(A340,Tasks!B:G,2,FALSE),"")</f>
        <v/>
      </c>
      <c r="C340" s="20" t="str">
        <f>IF(A340&lt;&gt;"",VLOOKUP(A340,Tasks!B:G,4,FALSE),"")</f>
        <v/>
      </c>
      <c r="D340" s="20" t="str">
        <f>IF(A340&lt;&gt;"",VLOOKUP(A340,Tasks!B:G,5,FALSE),"")</f>
        <v/>
      </c>
      <c r="E340" s="21" t="str">
        <f>IF(A340&lt;&gt;"",VLOOKUP(A340,Tasks!B:G,6,FALSE),"")</f>
        <v/>
      </c>
    </row>
    <row r="341" spans="2:5" x14ac:dyDescent="0.4">
      <c r="B341" s="21" t="str">
        <f>IF(A341&lt;&gt;"",VLOOKUP(A341,Tasks!B:G,2,FALSE),"")</f>
        <v/>
      </c>
      <c r="C341" s="20" t="str">
        <f>IF(A341&lt;&gt;"",VLOOKUP(A341,Tasks!B:G,4,FALSE),"")</f>
        <v/>
      </c>
      <c r="D341" s="20" t="str">
        <f>IF(A341&lt;&gt;"",VLOOKUP(A341,Tasks!B:G,5,FALSE),"")</f>
        <v/>
      </c>
      <c r="E341" s="21" t="str">
        <f>IF(A341&lt;&gt;"",VLOOKUP(A341,Tasks!B:G,6,FALSE),"")</f>
        <v/>
      </c>
    </row>
    <row r="342" spans="2:5" x14ac:dyDescent="0.4">
      <c r="B342" s="21" t="str">
        <f>IF(A342&lt;&gt;"",VLOOKUP(A342,Tasks!B:G,2,FALSE),"")</f>
        <v/>
      </c>
      <c r="C342" s="20" t="str">
        <f>IF(A342&lt;&gt;"",VLOOKUP(A342,Tasks!B:G,4,FALSE),"")</f>
        <v/>
      </c>
      <c r="D342" s="20" t="str">
        <f>IF(A342&lt;&gt;"",VLOOKUP(A342,Tasks!B:G,5,FALSE),"")</f>
        <v/>
      </c>
      <c r="E342" s="21" t="str">
        <f>IF(A342&lt;&gt;"",VLOOKUP(A342,Tasks!B:G,6,FALSE),"")</f>
        <v/>
      </c>
    </row>
    <row r="343" spans="2:5" x14ac:dyDescent="0.4">
      <c r="B343" s="21" t="str">
        <f>IF(A343&lt;&gt;"",VLOOKUP(A343,Tasks!B:G,2,FALSE),"")</f>
        <v/>
      </c>
      <c r="C343" s="20" t="str">
        <f>IF(A343&lt;&gt;"",VLOOKUP(A343,Tasks!B:G,4,FALSE),"")</f>
        <v/>
      </c>
      <c r="D343" s="20" t="str">
        <f>IF(A343&lt;&gt;"",VLOOKUP(A343,Tasks!B:G,5,FALSE),"")</f>
        <v/>
      </c>
      <c r="E343" s="21" t="str">
        <f>IF(A343&lt;&gt;"",VLOOKUP(A343,Tasks!B:G,6,FALSE),"")</f>
        <v/>
      </c>
    </row>
    <row r="344" spans="2:5" x14ac:dyDescent="0.4">
      <c r="B344" s="21" t="str">
        <f>IF(A344&lt;&gt;"",VLOOKUP(A344,Tasks!B:G,2,FALSE),"")</f>
        <v/>
      </c>
      <c r="C344" s="20" t="str">
        <f>IF(A344&lt;&gt;"",VLOOKUP(A344,Tasks!B:G,4,FALSE),"")</f>
        <v/>
      </c>
      <c r="D344" s="20" t="str">
        <f>IF(A344&lt;&gt;"",VLOOKUP(A344,Tasks!B:G,5,FALSE),"")</f>
        <v/>
      </c>
      <c r="E344" s="21" t="str">
        <f>IF(A344&lt;&gt;"",VLOOKUP(A344,Tasks!B:G,6,FALSE),"")</f>
        <v/>
      </c>
    </row>
    <row r="345" spans="2:5" x14ac:dyDescent="0.4">
      <c r="B345" s="21" t="str">
        <f>IF(A345&lt;&gt;"",VLOOKUP(A345,Tasks!B:G,2,FALSE),"")</f>
        <v/>
      </c>
      <c r="C345" s="20" t="str">
        <f>IF(A345&lt;&gt;"",VLOOKUP(A345,Tasks!B:G,4,FALSE),"")</f>
        <v/>
      </c>
      <c r="D345" s="20" t="str">
        <f>IF(A345&lt;&gt;"",VLOOKUP(A345,Tasks!B:G,5,FALSE),"")</f>
        <v/>
      </c>
      <c r="E345" s="21" t="str">
        <f>IF(A345&lt;&gt;"",VLOOKUP(A345,Tasks!B:G,6,FALSE),"")</f>
        <v/>
      </c>
    </row>
    <row r="346" spans="2:5" x14ac:dyDescent="0.4">
      <c r="B346" s="21" t="str">
        <f>IF(A346&lt;&gt;"",VLOOKUP(A346,Tasks!B:G,2,FALSE),"")</f>
        <v/>
      </c>
      <c r="C346" s="20" t="str">
        <f>IF(A346&lt;&gt;"",VLOOKUP(A346,Tasks!B:G,4,FALSE),"")</f>
        <v/>
      </c>
      <c r="D346" s="20" t="str">
        <f>IF(A346&lt;&gt;"",VLOOKUP(A346,Tasks!B:G,5,FALSE),"")</f>
        <v/>
      </c>
      <c r="E346" s="21" t="str">
        <f>IF(A346&lt;&gt;"",VLOOKUP(A346,Tasks!B:G,6,FALSE),"")</f>
        <v/>
      </c>
    </row>
    <row r="347" spans="2:5" x14ac:dyDescent="0.4">
      <c r="B347" s="21" t="str">
        <f>IF(A347&lt;&gt;"",VLOOKUP(A347,Tasks!B:G,2,FALSE),"")</f>
        <v/>
      </c>
      <c r="C347" s="20" t="str">
        <f>IF(A347&lt;&gt;"",VLOOKUP(A347,Tasks!B:G,4,FALSE),"")</f>
        <v/>
      </c>
      <c r="D347" s="20" t="str">
        <f>IF(A347&lt;&gt;"",VLOOKUP(A347,Tasks!B:G,5,FALSE),"")</f>
        <v/>
      </c>
      <c r="E347" s="21" t="str">
        <f>IF(A347&lt;&gt;"",VLOOKUP(A347,Tasks!B:G,6,FALSE),"")</f>
        <v/>
      </c>
    </row>
    <row r="348" spans="2:5" x14ac:dyDescent="0.4">
      <c r="B348" s="21" t="str">
        <f>IF(A348&lt;&gt;"",VLOOKUP(A348,Tasks!B:G,2,FALSE),"")</f>
        <v/>
      </c>
      <c r="C348" s="20" t="str">
        <f>IF(A348&lt;&gt;"",VLOOKUP(A348,Tasks!B:G,4,FALSE),"")</f>
        <v/>
      </c>
      <c r="D348" s="20" t="str">
        <f>IF(A348&lt;&gt;"",VLOOKUP(A348,Tasks!B:G,5,FALSE),"")</f>
        <v/>
      </c>
      <c r="E348" s="21" t="str">
        <f>IF(A348&lt;&gt;"",VLOOKUP(A348,Tasks!B:G,6,FALSE),"")</f>
        <v/>
      </c>
    </row>
    <row r="349" spans="2:5" x14ac:dyDescent="0.4">
      <c r="B349" s="21" t="str">
        <f>IF(A349&lt;&gt;"",VLOOKUP(A349,Tasks!B:G,2,FALSE),"")</f>
        <v/>
      </c>
      <c r="C349" s="20" t="str">
        <f>IF(A349&lt;&gt;"",VLOOKUP(A349,Tasks!B:G,4,FALSE),"")</f>
        <v/>
      </c>
      <c r="D349" s="20" t="str">
        <f>IF(A349&lt;&gt;"",VLOOKUP(A349,Tasks!B:G,5,FALSE),"")</f>
        <v/>
      </c>
      <c r="E349" s="21" t="str">
        <f>IF(A349&lt;&gt;"",VLOOKUP(A349,Tasks!B:G,6,FALSE),"")</f>
        <v/>
      </c>
    </row>
    <row r="350" spans="2:5" x14ac:dyDescent="0.4">
      <c r="B350" s="21" t="str">
        <f>IF(A350&lt;&gt;"",VLOOKUP(A350,Tasks!B:G,2,FALSE),"")</f>
        <v/>
      </c>
      <c r="C350" s="20" t="str">
        <f>IF(A350&lt;&gt;"",VLOOKUP(A350,Tasks!B:G,4,FALSE),"")</f>
        <v/>
      </c>
      <c r="D350" s="20" t="str">
        <f>IF(A350&lt;&gt;"",VLOOKUP(A350,Tasks!B:G,5,FALSE),"")</f>
        <v/>
      </c>
      <c r="E350" s="21" t="str">
        <f>IF(A350&lt;&gt;"",VLOOKUP(A350,Tasks!B:G,6,FALSE),"")</f>
        <v/>
      </c>
    </row>
    <row r="351" spans="2:5" x14ac:dyDescent="0.4">
      <c r="B351" s="21" t="str">
        <f>IF(A351&lt;&gt;"",VLOOKUP(A351,Tasks!B:G,2,FALSE),"")</f>
        <v/>
      </c>
      <c r="C351" s="20" t="str">
        <f>IF(A351&lt;&gt;"",VLOOKUP(A351,Tasks!B:G,4,FALSE),"")</f>
        <v/>
      </c>
      <c r="D351" s="20" t="str">
        <f>IF(A351&lt;&gt;"",VLOOKUP(A351,Tasks!B:G,5,FALSE),"")</f>
        <v/>
      </c>
      <c r="E351" s="21" t="str">
        <f>IF(A351&lt;&gt;"",VLOOKUP(A351,Tasks!B:G,6,FALSE),"")</f>
        <v/>
      </c>
    </row>
    <row r="352" spans="2:5" x14ac:dyDescent="0.4">
      <c r="B352" s="21" t="str">
        <f>IF(A352&lt;&gt;"",VLOOKUP(A352,Tasks!B:G,2,FALSE),"")</f>
        <v/>
      </c>
      <c r="C352" s="20" t="str">
        <f>IF(A352&lt;&gt;"",VLOOKUP(A352,Tasks!B:G,4,FALSE),"")</f>
        <v/>
      </c>
      <c r="D352" s="20" t="str">
        <f>IF(A352&lt;&gt;"",VLOOKUP(A352,Tasks!B:G,5,FALSE),"")</f>
        <v/>
      </c>
      <c r="E352" s="21" t="str">
        <f>IF(A352&lt;&gt;"",VLOOKUP(A352,Tasks!B:G,6,FALSE),"")</f>
        <v/>
      </c>
    </row>
    <row r="353" spans="2:5" x14ac:dyDescent="0.4">
      <c r="B353" s="21" t="str">
        <f>IF(A353&lt;&gt;"",VLOOKUP(A353,Tasks!B:G,2,FALSE),"")</f>
        <v/>
      </c>
      <c r="C353" s="20" t="str">
        <f>IF(A353&lt;&gt;"",VLOOKUP(A353,Tasks!B:G,4,FALSE),"")</f>
        <v/>
      </c>
      <c r="D353" s="20" t="str">
        <f>IF(A353&lt;&gt;"",VLOOKUP(A353,Tasks!B:G,5,FALSE),"")</f>
        <v/>
      </c>
      <c r="E353" s="21" t="str">
        <f>IF(A353&lt;&gt;"",VLOOKUP(A353,Tasks!B:G,6,FALSE),"")</f>
        <v/>
      </c>
    </row>
    <row r="354" spans="2:5" x14ac:dyDescent="0.4">
      <c r="B354" s="21" t="str">
        <f>IF(A354&lt;&gt;"",VLOOKUP(A354,Tasks!B:G,2,FALSE),"")</f>
        <v/>
      </c>
      <c r="C354" s="20" t="str">
        <f>IF(A354&lt;&gt;"",VLOOKUP(A354,Tasks!B:G,4,FALSE),"")</f>
        <v/>
      </c>
      <c r="D354" s="20" t="str">
        <f>IF(A354&lt;&gt;"",VLOOKUP(A354,Tasks!B:G,5,FALSE),"")</f>
        <v/>
      </c>
      <c r="E354" s="21" t="str">
        <f>IF(A354&lt;&gt;"",VLOOKUP(A354,Tasks!B:G,6,FALSE),"")</f>
        <v/>
      </c>
    </row>
    <row r="355" spans="2:5" x14ac:dyDescent="0.4">
      <c r="B355" s="21" t="str">
        <f>IF(A355&lt;&gt;"",VLOOKUP(A355,Tasks!B:G,2,FALSE),"")</f>
        <v/>
      </c>
      <c r="C355" s="20" t="str">
        <f>IF(A355&lt;&gt;"",VLOOKUP(A355,Tasks!B:G,4,FALSE),"")</f>
        <v/>
      </c>
      <c r="D355" s="20" t="str">
        <f>IF(A355&lt;&gt;"",VLOOKUP(A355,Tasks!B:G,5,FALSE),"")</f>
        <v/>
      </c>
      <c r="E355" s="21" t="str">
        <f>IF(A355&lt;&gt;"",VLOOKUP(A355,Tasks!B:G,6,FALSE),"")</f>
        <v/>
      </c>
    </row>
    <row r="356" spans="2:5" x14ac:dyDescent="0.4">
      <c r="B356" s="21" t="str">
        <f>IF(A356&lt;&gt;"",VLOOKUP(A356,Tasks!B:G,2,FALSE),"")</f>
        <v/>
      </c>
      <c r="C356" s="20" t="str">
        <f>IF(A356&lt;&gt;"",VLOOKUP(A356,Tasks!B:G,4,FALSE),"")</f>
        <v/>
      </c>
      <c r="D356" s="20" t="str">
        <f>IF(A356&lt;&gt;"",VLOOKUP(A356,Tasks!B:G,5,FALSE),"")</f>
        <v/>
      </c>
      <c r="E356" s="21" t="str">
        <f>IF(A356&lt;&gt;"",VLOOKUP(A356,Tasks!B:G,6,FALSE),"")</f>
        <v/>
      </c>
    </row>
    <row r="357" spans="2:5" x14ac:dyDescent="0.4">
      <c r="B357" s="21" t="str">
        <f>IF(A357&lt;&gt;"",VLOOKUP(A357,Tasks!B:G,2,FALSE),"")</f>
        <v/>
      </c>
      <c r="C357" s="20" t="str">
        <f>IF(A357&lt;&gt;"",VLOOKUP(A357,Tasks!B:G,4,FALSE),"")</f>
        <v/>
      </c>
      <c r="D357" s="20" t="str">
        <f>IF(A357&lt;&gt;"",VLOOKUP(A357,Tasks!B:G,5,FALSE),"")</f>
        <v/>
      </c>
      <c r="E357" s="21" t="str">
        <f>IF(A357&lt;&gt;"",VLOOKUP(A357,Tasks!B:G,6,FALSE),"")</f>
        <v/>
      </c>
    </row>
    <row r="358" spans="2:5" x14ac:dyDescent="0.4">
      <c r="B358" s="21" t="str">
        <f>IF(A358&lt;&gt;"",VLOOKUP(A358,Tasks!B:G,2,FALSE),"")</f>
        <v/>
      </c>
      <c r="C358" s="20" t="str">
        <f>IF(A358&lt;&gt;"",VLOOKUP(A358,Tasks!B:G,4,FALSE),"")</f>
        <v/>
      </c>
      <c r="D358" s="20" t="str">
        <f>IF(A358&lt;&gt;"",VLOOKUP(A358,Tasks!B:G,5,FALSE),"")</f>
        <v/>
      </c>
      <c r="E358" s="21" t="str">
        <f>IF(A358&lt;&gt;"",VLOOKUP(A358,Tasks!B:G,6,FALSE),"")</f>
        <v/>
      </c>
    </row>
    <row r="359" spans="2:5" x14ac:dyDescent="0.4">
      <c r="B359" s="21" t="str">
        <f>IF(A359&lt;&gt;"",VLOOKUP(A359,Tasks!B:G,2,FALSE),"")</f>
        <v/>
      </c>
      <c r="C359" s="20" t="str">
        <f>IF(A359&lt;&gt;"",VLOOKUP(A359,Tasks!B:G,4,FALSE),"")</f>
        <v/>
      </c>
      <c r="D359" s="20" t="str">
        <f>IF(A359&lt;&gt;"",VLOOKUP(A359,Tasks!B:G,5,FALSE),"")</f>
        <v/>
      </c>
      <c r="E359" s="21" t="str">
        <f>IF(A359&lt;&gt;"",VLOOKUP(A359,Tasks!B:G,6,FALSE),"")</f>
        <v/>
      </c>
    </row>
    <row r="360" spans="2:5" x14ac:dyDescent="0.4">
      <c r="B360" s="21" t="str">
        <f>IF(A360&lt;&gt;"",VLOOKUP(A360,Tasks!B:G,2,FALSE),"")</f>
        <v/>
      </c>
      <c r="C360" s="20" t="str">
        <f>IF(A360&lt;&gt;"",VLOOKUP(A360,Tasks!B:G,4,FALSE),"")</f>
        <v/>
      </c>
      <c r="D360" s="20" t="str">
        <f>IF(A360&lt;&gt;"",VLOOKUP(A360,Tasks!B:G,5,FALSE),"")</f>
        <v/>
      </c>
      <c r="E360" s="21" t="str">
        <f>IF(A360&lt;&gt;"",VLOOKUP(A360,Tasks!B:G,6,FALSE),"")</f>
        <v/>
      </c>
    </row>
    <row r="361" spans="2:5" x14ac:dyDescent="0.4">
      <c r="B361" s="21" t="str">
        <f>IF(A361&lt;&gt;"",VLOOKUP(A361,Tasks!B:G,2,FALSE),"")</f>
        <v/>
      </c>
      <c r="C361" s="20" t="str">
        <f>IF(A361&lt;&gt;"",VLOOKUP(A361,Tasks!B:G,4,FALSE),"")</f>
        <v/>
      </c>
      <c r="D361" s="20" t="str">
        <f>IF(A361&lt;&gt;"",VLOOKUP(A361,Tasks!B:G,5,FALSE),"")</f>
        <v/>
      </c>
      <c r="E361" s="21" t="str">
        <f>IF(A361&lt;&gt;"",VLOOKUP(A361,Tasks!B:G,6,FALSE),"")</f>
        <v/>
      </c>
    </row>
    <row r="362" spans="2:5" x14ac:dyDescent="0.4">
      <c r="B362" s="21" t="str">
        <f>IF(A362&lt;&gt;"",VLOOKUP(A362,Tasks!B:G,2,FALSE),"")</f>
        <v/>
      </c>
      <c r="C362" s="20" t="str">
        <f>IF(A362&lt;&gt;"",VLOOKUP(A362,Tasks!B:G,4,FALSE),"")</f>
        <v/>
      </c>
      <c r="D362" s="20" t="str">
        <f>IF(A362&lt;&gt;"",VLOOKUP(A362,Tasks!B:G,5,FALSE),"")</f>
        <v/>
      </c>
      <c r="E362" s="21" t="str">
        <f>IF(A362&lt;&gt;"",VLOOKUP(A362,Tasks!B:G,6,FALSE),"")</f>
        <v/>
      </c>
    </row>
    <row r="363" spans="2:5" x14ac:dyDescent="0.4">
      <c r="B363" s="21" t="str">
        <f>IF(A363&lt;&gt;"",VLOOKUP(A363,Tasks!B:G,2,FALSE),"")</f>
        <v/>
      </c>
      <c r="C363" s="20" t="str">
        <f>IF(A363&lt;&gt;"",VLOOKUP(A363,Tasks!B:G,4,FALSE),"")</f>
        <v/>
      </c>
      <c r="D363" s="20" t="str">
        <f>IF(A363&lt;&gt;"",VLOOKUP(A363,Tasks!B:G,5,FALSE),"")</f>
        <v/>
      </c>
      <c r="E363" s="21" t="str">
        <f>IF(A363&lt;&gt;"",VLOOKUP(A363,Tasks!B:G,6,FALSE),"")</f>
        <v/>
      </c>
    </row>
    <row r="364" spans="2:5" x14ac:dyDescent="0.4">
      <c r="B364" s="21" t="str">
        <f>IF(A364&lt;&gt;"",VLOOKUP(A364,Tasks!B:G,2,FALSE),"")</f>
        <v/>
      </c>
      <c r="C364" s="20" t="str">
        <f>IF(A364&lt;&gt;"",VLOOKUP(A364,Tasks!B:G,4,FALSE),"")</f>
        <v/>
      </c>
      <c r="D364" s="20" t="str">
        <f>IF(A364&lt;&gt;"",VLOOKUP(A364,Tasks!B:G,5,FALSE),"")</f>
        <v/>
      </c>
      <c r="E364" s="21" t="str">
        <f>IF(A364&lt;&gt;"",VLOOKUP(A364,Tasks!B:G,6,FALSE),"")</f>
        <v/>
      </c>
    </row>
    <row r="365" spans="2:5" x14ac:dyDescent="0.4">
      <c r="B365" s="21" t="str">
        <f>IF(A365&lt;&gt;"",VLOOKUP(A365,Tasks!B:G,2,FALSE),"")</f>
        <v/>
      </c>
      <c r="C365" s="20" t="str">
        <f>IF(A365&lt;&gt;"",VLOOKUP(A365,Tasks!B:G,4,FALSE),"")</f>
        <v/>
      </c>
      <c r="D365" s="20" t="str">
        <f>IF(A365&lt;&gt;"",VLOOKUP(A365,Tasks!B:G,5,FALSE),"")</f>
        <v/>
      </c>
      <c r="E365" s="21" t="str">
        <f>IF(A365&lt;&gt;"",VLOOKUP(A365,Tasks!B:G,6,FALSE),"")</f>
        <v/>
      </c>
    </row>
  </sheetData>
  <autoFilter ref="A7:E7" xr:uid="{A838F7EE-2EF3-44BC-BDD7-0DBC7C38AB2C}"/>
  <mergeCells count="1">
    <mergeCell ref="A1:E1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imulateFuture">
                <anchor moveWithCells="1" sizeWithCells="1">
                  <from>
                    <xdr:col>2</xdr:col>
                    <xdr:colOff>9525</xdr:colOff>
                    <xdr:row>3</xdr:row>
                    <xdr:rowOff>9525</xdr:rowOff>
                  </from>
                  <to>
                    <xdr:col>3</xdr:col>
                    <xdr:colOff>0</xdr:colOff>
                    <xdr:row>3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D5F57-6535-4322-9B77-C2FE9FDFB6E1}">
  <sheetPr codeName="Sheet7"/>
  <dimension ref="A24:D27"/>
  <sheetViews>
    <sheetView workbookViewId="0">
      <pane ySplit="24" topLeftCell="A25" activePane="bottomLeft" state="frozen"/>
      <selection pane="bottomLeft" activeCell="B26" sqref="B26"/>
    </sheetView>
  </sheetViews>
  <sheetFormatPr defaultRowHeight="12" x14ac:dyDescent="0.4"/>
  <cols>
    <col min="1" max="1" width="10" style="1" bestFit="1" customWidth="1"/>
    <col min="2" max="2" width="5.75" style="1" bestFit="1" customWidth="1"/>
    <col min="3" max="4" width="5.5" style="1" bestFit="1" customWidth="1"/>
    <col min="5" max="16384" width="9" style="1"/>
  </cols>
  <sheetData>
    <row r="24" spans="1:4" x14ac:dyDescent="0.4">
      <c r="A24" s="1" t="s">
        <v>105</v>
      </c>
      <c r="B24" s="1" t="s">
        <v>2</v>
      </c>
      <c r="C24" s="1" t="s">
        <v>104</v>
      </c>
      <c r="D24" s="1" t="s">
        <v>1</v>
      </c>
    </row>
    <row r="25" spans="1:4" x14ac:dyDescent="0.4">
      <c r="A25" s="3">
        <v>44091</v>
      </c>
      <c r="B25" s="1">
        <v>0.97</v>
      </c>
      <c r="C25" s="1">
        <v>0.57000000000000006</v>
      </c>
      <c r="D25" s="1">
        <v>0.37</v>
      </c>
    </row>
    <row r="26" spans="1:4" x14ac:dyDescent="0.4">
      <c r="A26" s="3"/>
    </row>
    <row r="27" spans="1:4" x14ac:dyDescent="0.4">
      <c r="A27" s="3"/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TimeSheet</vt:lpstr>
      <vt:lpstr>Tasks</vt:lpstr>
      <vt:lpstr>Projects</vt:lpstr>
      <vt:lpstr>est vs act</vt:lpstr>
      <vt:lpstr>Sim</vt:lpstr>
      <vt:lpstr>ConfDist&amp;Log</vt:lpstr>
    </vt:vector>
  </TitlesOfParts>
  <Company>Soliton Systems K.K.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百瀬 啓次</dc:creator>
  <cp:lastModifiedBy>百瀬 啓次</cp:lastModifiedBy>
  <dcterms:created xsi:type="dcterms:W3CDTF">2020-07-27T01:48:55Z</dcterms:created>
  <dcterms:modified xsi:type="dcterms:W3CDTF">2021-04-09T05:38:50Z</dcterms:modified>
</cp:coreProperties>
</file>